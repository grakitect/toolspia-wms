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esktop\WMS\CURSOR_재고관리\기본정보업데이트\"/>
    </mc:Choice>
  </mc:AlternateContent>
  <bookViews>
    <workbookView xWindow="0" yWindow="0" windowWidth="28800" windowHeight="11640"/>
  </bookViews>
  <sheets>
    <sheet name="guide" sheetId="1" r:id="rId1"/>
  </sheets>
  <externalReferences>
    <externalReference r:id="rId2"/>
  </externalReferences>
  <definedNames>
    <definedName name="_xlnm._FilterDatabase" localSheetId="0" hidden="1">guide!$A$1:$T$189</definedName>
  </definedNames>
  <calcPr calcId="162913"/>
</workbook>
</file>

<file path=xl/calcChain.xml><?xml version="1.0" encoding="utf-8"?>
<calcChain xmlns="http://schemas.openxmlformats.org/spreadsheetml/2006/main">
  <c r="I4" i="1" l="1"/>
  <c r="I5" i="1"/>
  <c r="I6" i="1"/>
  <c r="I7" i="1"/>
  <c r="I9" i="1"/>
  <c r="I10" i="1"/>
  <c r="I11" i="1"/>
  <c r="I13" i="1"/>
  <c r="I14" i="1"/>
  <c r="I15" i="1"/>
  <c r="I16" i="1"/>
  <c r="I17" i="1"/>
  <c r="I19" i="1"/>
  <c r="I21" i="1"/>
  <c r="I22" i="1"/>
  <c r="I23" i="1"/>
  <c r="I24" i="1"/>
  <c r="I25" i="1"/>
  <c r="I26" i="1"/>
  <c r="I27" i="1"/>
  <c r="I28" i="1"/>
  <c r="I29" i="1"/>
  <c r="I31" i="1"/>
  <c r="I32" i="1"/>
  <c r="I34" i="1"/>
  <c r="I39" i="1"/>
  <c r="I40" i="1"/>
  <c r="I41" i="1"/>
  <c r="I42" i="1"/>
  <c r="I43" i="1"/>
  <c r="I44" i="1"/>
  <c r="I45" i="1"/>
  <c r="I46" i="1"/>
  <c r="I47" i="1"/>
  <c r="I48" i="1"/>
  <c r="I49" i="1"/>
  <c r="I50" i="1"/>
  <c r="I52" i="1"/>
  <c r="I53" i="1"/>
  <c r="I54" i="1"/>
  <c r="I55" i="1"/>
  <c r="I56" i="1"/>
  <c r="I59" i="1"/>
  <c r="I60" i="1"/>
  <c r="I61" i="1"/>
  <c r="I66" i="1"/>
  <c r="I67" i="1"/>
  <c r="I68" i="1"/>
  <c r="I69" i="1"/>
  <c r="I71" i="1"/>
  <c r="I72" i="1"/>
  <c r="I73" i="1"/>
  <c r="I74" i="1"/>
  <c r="I75" i="1"/>
  <c r="I77" i="1"/>
  <c r="I78" i="1"/>
  <c r="I79" i="1"/>
  <c r="I82" i="1"/>
  <c r="I83" i="1"/>
  <c r="I84" i="1"/>
  <c r="I87" i="1"/>
  <c r="I88" i="1"/>
  <c r="I89" i="1"/>
  <c r="I96" i="1"/>
  <c r="I97" i="1"/>
  <c r="I98" i="1"/>
  <c r="I100" i="1"/>
  <c r="I101" i="1"/>
  <c r="I103" i="1"/>
  <c r="I105" i="1"/>
  <c r="I106" i="1"/>
  <c r="I107" i="1"/>
  <c r="I108" i="1"/>
  <c r="I109" i="1"/>
  <c r="I110" i="1"/>
  <c r="I111" i="1"/>
  <c r="I116" i="1"/>
  <c r="I117" i="1"/>
  <c r="I118" i="1"/>
  <c r="I119" i="1"/>
  <c r="I120" i="1"/>
  <c r="I124" i="1"/>
  <c r="I126" i="1"/>
  <c r="I130" i="1"/>
  <c r="I135" i="1"/>
  <c r="I136" i="1"/>
  <c r="I137" i="1"/>
  <c r="I138" i="1"/>
  <c r="I139" i="1"/>
  <c r="I140" i="1"/>
  <c r="I141" i="1"/>
  <c r="I142" i="1"/>
  <c r="I146" i="1"/>
  <c r="I151" i="1"/>
  <c r="I152" i="1"/>
  <c r="I154" i="1"/>
  <c r="I157" i="1"/>
  <c r="I158" i="1"/>
  <c r="I159" i="1"/>
  <c r="I160" i="1"/>
  <c r="I161" i="1"/>
  <c r="I162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1" i="1"/>
  <c r="I184" i="1"/>
  <c r="I185" i="1"/>
  <c r="I186" i="1"/>
  <c r="I187" i="1"/>
  <c r="I188" i="1"/>
  <c r="I189" i="1"/>
  <c r="I2" i="1"/>
</calcChain>
</file>

<file path=xl/sharedStrings.xml><?xml version="1.0" encoding="utf-8"?>
<sst xmlns="http://schemas.openxmlformats.org/spreadsheetml/2006/main" count="2533" uniqueCount="839">
  <si>
    <t>품목코드(이카운트)</t>
  </si>
  <si>
    <t>바코드(SKU)</t>
  </si>
  <si>
    <t>바코드(중포)</t>
  </si>
  <si>
    <t>바코드(카톤)</t>
  </si>
  <si>
    <t>품목명(이카운트)</t>
  </si>
  <si>
    <t>상태</t>
  </si>
  <si>
    <t>판매처</t>
  </si>
  <si>
    <t>판매처관리코드</t>
  </si>
  <si>
    <t>판매처 품목명</t>
  </si>
  <si>
    <t>규격</t>
  </si>
  <si>
    <t>구매처</t>
  </si>
  <si>
    <t>수급형태</t>
  </si>
  <si>
    <t>발주부서</t>
  </si>
  <si>
    <t>발주담당자</t>
  </si>
  <si>
    <t>구매처 품목코드</t>
  </si>
  <si>
    <t>구매처 품목명</t>
  </si>
  <si>
    <t>창고그룹(이카운트)</t>
  </si>
  <si>
    <t>사용창고</t>
  </si>
  <si>
    <t>구분</t>
  </si>
  <si>
    <t>카테고리</t>
  </si>
  <si>
    <t>판매중</t>
  </si>
  <si>
    <t>무역(수입)</t>
  </si>
  <si>
    <t>유통사업부</t>
  </si>
  <si>
    <t>[상품]</t>
  </si>
  <si>
    <t>daiso1012146</t>
  </si>
  <si>
    <t>1012146/낫 18CM</t>
  </si>
  <si>
    <t>다이소</t>
  </si>
  <si>
    <t>18.5cm</t>
  </si>
  <si>
    <t>NINGBO SOURCE E-BUSINESS CO., LTD</t>
  </si>
  <si>
    <t>글로벌소싱부</t>
  </si>
  <si>
    <t>툴스피아,우리물류(회송전)</t>
  </si>
  <si>
    <t>원예</t>
  </si>
  <si>
    <t>daiso1015891</t>
  </si>
  <si>
    <t>1015891/다용도 커터[단종]</t>
  </si>
  <si>
    <t>단종</t>
  </si>
  <si>
    <t>169mm</t>
  </si>
  <si>
    <t>공구</t>
  </si>
  <si>
    <t>daiso1015892</t>
  </si>
  <si>
    <t>1015892/칼+날2P</t>
  </si>
  <si>
    <t>121mm</t>
  </si>
  <si>
    <t>XT-HENAN JUSEN MEASURING TOOLS CO., LTD</t>
  </si>
  <si>
    <t>daiso1019757</t>
  </si>
  <si>
    <t>1019757/양용타격드라이버</t>
  </si>
  <si>
    <t>SHANGQIU KEMING INDUSTRIAL AND MEASURING TOOLS CO.</t>
  </si>
  <si>
    <t>daiso1019758</t>
  </si>
  <si>
    <t>1019758/산업용커터칼세트(리필칼날10p)</t>
  </si>
  <si>
    <t>칼165mm/칼날18mm</t>
  </si>
  <si>
    <t>daiso1019759</t>
  </si>
  <si>
    <t>1019759/메탈샤워호스4M</t>
  </si>
  <si>
    <t>4m</t>
  </si>
  <si>
    <t>수전</t>
  </si>
  <si>
    <t>daiso1021017</t>
  </si>
  <si>
    <t>1021017/줄자20M</t>
  </si>
  <si>
    <t>20m*12mm</t>
  </si>
  <si>
    <t>daiso1024356</t>
  </si>
  <si>
    <t>1024356/필터정수샤워기</t>
  </si>
  <si>
    <t>80*260mm(필터,세라믹볼,필터시트)</t>
  </si>
  <si>
    <t>NINGBO ZEXIN SANITARY WARE CO., LTD</t>
  </si>
  <si>
    <t>필터</t>
  </si>
  <si>
    <t>daiso1024367</t>
  </si>
  <si>
    <t>1024367/2단계필터샤워기</t>
  </si>
  <si>
    <t>80*260mm</t>
  </si>
  <si>
    <t>NINGBO SMARTLIFE HOURSEWARE PRODUCTS CO., LTD</t>
  </si>
  <si>
    <t>daiso1024369</t>
  </si>
  <si>
    <t>1024369/필터샤워기리필3p</t>
  </si>
  <si>
    <t>3p</t>
  </si>
  <si>
    <t>외주포장</t>
  </si>
  <si>
    <t>필조</t>
  </si>
  <si>
    <t>daiso1024369-1</t>
  </si>
  <si>
    <t>1024369/필터샤워기리필 조립</t>
  </si>
  <si>
    <t>기타</t>
  </si>
  <si>
    <t>[반제품]</t>
  </si>
  <si>
    <t>daiso1026718</t>
  </si>
  <si>
    <t>1026718/비타민샤워필터(레몬)</t>
  </si>
  <si>
    <t>4*14*3*0,145g</t>
  </si>
  <si>
    <t>(주)마오테크놀러지</t>
  </si>
  <si>
    <t>국내사입</t>
  </si>
  <si>
    <t>물류운영부</t>
  </si>
  <si>
    <t>박유정</t>
  </si>
  <si>
    <t>daiso1026727</t>
  </si>
  <si>
    <t>1026727/비타민샤워필터(체리블라썸)</t>
  </si>
  <si>
    <t>daiso1026728</t>
  </si>
  <si>
    <t>1026728/비타민샤워필터(라벤더)</t>
  </si>
  <si>
    <t>daiso1029132</t>
  </si>
  <si>
    <t>1029132/싱크대용 필터헤드(핸디형)</t>
  </si>
  <si>
    <t>18*8*6</t>
  </si>
  <si>
    <t>daiso1029133</t>
  </si>
  <si>
    <t>1029133/싱크대용리필필터(4개입)</t>
  </si>
  <si>
    <t>6*2*1</t>
  </si>
  <si>
    <t>daiso1029133-1</t>
  </si>
  <si>
    <t>1029133/싱크대용리필필터(4개입)_인터넷판매</t>
  </si>
  <si>
    <t>daiso1029134</t>
  </si>
  <si>
    <t>1029134/녹물차단 필터</t>
  </si>
  <si>
    <t>5*14*3*0</t>
  </si>
  <si>
    <t>daiso1029135</t>
  </si>
  <si>
    <t>1029135/키재기줄자2M</t>
  </si>
  <si>
    <t>15*12*3.5cm</t>
  </si>
  <si>
    <t>HENAN HUAJIANG INDUSTRY CO., LTD</t>
  </si>
  <si>
    <t>daiso10341</t>
  </si>
  <si>
    <t>10341/Fix순간접착제(젤형)</t>
  </si>
  <si>
    <t>젤형 3g</t>
  </si>
  <si>
    <t>GS코퍼레이션</t>
  </si>
  <si>
    <t>접착</t>
  </si>
  <si>
    <t>daiso10342</t>
  </si>
  <si>
    <t>10342/Fix순간접착제(펜형)</t>
  </si>
  <si>
    <t>펜형 3g</t>
  </si>
  <si>
    <t>(주)크록스</t>
  </si>
  <si>
    <t>daiso1034744</t>
  </si>
  <si>
    <t>1034744/회색 실란트 300ml</t>
  </si>
  <si>
    <t>주식회사 탑씰</t>
  </si>
  <si>
    <t>daiso1034749</t>
  </si>
  <si>
    <t>1034749/백색 실란트 300ml</t>
  </si>
  <si>
    <t>daiso1034750</t>
  </si>
  <si>
    <t>1034750/투명 실란트 300ml</t>
  </si>
  <si>
    <t>daiso1036955</t>
  </si>
  <si>
    <t>1036955/숏샤워기헤드</t>
  </si>
  <si>
    <t>60*80*135mm</t>
  </si>
  <si>
    <t>daiso1038018</t>
  </si>
  <si>
    <t>1038018/세면대필터세트(리필2개입포함)</t>
  </si>
  <si>
    <t>2p</t>
  </si>
  <si>
    <t>daiso1038019</t>
  </si>
  <si>
    <t>1038019/세면대필터리필(4개입)</t>
  </si>
  <si>
    <t>4p</t>
  </si>
  <si>
    <t>daiso1038160</t>
  </si>
  <si>
    <t>1038160/홈실리콘마미씰(회색)</t>
  </si>
  <si>
    <t>80ml(회색)</t>
  </si>
  <si>
    <t>daiso1038291</t>
  </si>
  <si>
    <t>1038291/다용도 청소분사기세트</t>
  </si>
  <si>
    <t>daiso1038730</t>
  </si>
  <si>
    <t>1038730/오토락줄자 7.5M</t>
  </si>
  <si>
    <t>7.5M</t>
  </si>
  <si>
    <t>HENAN FOCUS IMPORT AND EXPORT TRADING CO., LTD</t>
  </si>
  <si>
    <t>daiso1038731</t>
  </si>
  <si>
    <t>1038731/열쇠고리줄자(6mm*2mm)</t>
  </si>
  <si>
    <t>6mm*2mm</t>
  </si>
  <si>
    <t>daiso1041773</t>
  </si>
  <si>
    <t>1041773/녹제거제(20g)</t>
  </si>
  <si>
    <t>케미</t>
  </si>
  <si>
    <t>daiso1043287</t>
  </si>
  <si>
    <t>1043287/솔릭스픽스(목재용)</t>
  </si>
  <si>
    <t>목재용 20g</t>
  </si>
  <si>
    <t>daiso1043838</t>
  </si>
  <si>
    <t>1043838/일자브러쉬(40mm)</t>
  </si>
  <si>
    <t>40mm</t>
  </si>
  <si>
    <t>ROLLINGDOG (NINGBO) IMP AND EXP CO., LTD</t>
  </si>
  <si>
    <t>잡화</t>
  </si>
  <si>
    <t>daiso1043839</t>
  </si>
  <si>
    <t>1043839/앵글브러쉬(40mm)</t>
  </si>
  <si>
    <t>daiso1043840</t>
  </si>
  <si>
    <t>1043840/일자브러쉬(65mm)</t>
  </si>
  <si>
    <t>65mm</t>
  </si>
  <si>
    <t>daiso1043841</t>
  </si>
  <si>
    <t>1043841/앵글브러쉬(65mm)</t>
  </si>
  <si>
    <t>daiso1044098</t>
  </si>
  <si>
    <t>1044098/자바라 가스터보라이터</t>
  </si>
  <si>
    <t>YUYAO HAPPY LIGHT INDUSTRIAL PRODUCTS CO., LTD</t>
  </si>
  <si>
    <t>daiso1045580</t>
  </si>
  <si>
    <t>1045580/미니톱(당김방식)</t>
  </si>
  <si>
    <t>(당김방식)</t>
  </si>
  <si>
    <t>YONGKANG HUARUI IMP AND EXP CO., LTD</t>
  </si>
  <si>
    <t>daiso1045582</t>
  </si>
  <si>
    <t>1045582/미니톱날(4개입)</t>
  </si>
  <si>
    <t>(4개입)</t>
  </si>
  <si>
    <t>daiso1045586</t>
  </si>
  <si>
    <t>1045586/길이조절 라쳇 멀티드라이버(PH2)</t>
  </si>
  <si>
    <t>(PH2)</t>
  </si>
  <si>
    <t>daiso1045587</t>
  </si>
  <si>
    <t>1045587/미니 토치라이터</t>
  </si>
  <si>
    <t>daiso1046897</t>
  </si>
  <si>
    <t>1046897/모던샤워기세트</t>
  </si>
  <si>
    <t>ZHEJIANG YARTE SANITARY CO., LTD</t>
  </si>
  <si>
    <t>daiso1050223</t>
  </si>
  <si>
    <t>1050223/아크릴실란트백색(300ml)</t>
  </si>
  <si>
    <t>daiso1050224</t>
  </si>
  <si>
    <t>1050224/아크릴실란트회색(300ml)</t>
  </si>
  <si>
    <t>daiso1060704</t>
  </si>
  <si>
    <t>1060704/필터샤워기리필6p</t>
  </si>
  <si>
    <t>6p</t>
  </si>
  <si>
    <t>daiso1067748</t>
  </si>
  <si>
    <t>1067748/필터 마사지 샤워헤드</t>
  </si>
  <si>
    <t>daiso1067752</t>
  </si>
  <si>
    <t>1067752/간편휴대 필터샤워헤드</t>
  </si>
  <si>
    <t>daiso1067753</t>
  </si>
  <si>
    <t>1067753/여행용 샤워기 리필필터(3개입)</t>
  </si>
  <si>
    <t>daiso1067753-1</t>
  </si>
  <si>
    <t>1067753/여행용 샤워기 리필필터조립</t>
  </si>
  <si>
    <t>daiso1069778</t>
  </si>
  <si>
    <t>1069778/비타민샤워필터(포레스트)</t>
  </si>
  <si>
    <t>daiso1069779</t>
  </si>
  <si>
    <t>1069779/비타민샤워필터(화이트머스크)</t>
  </si>
  <si>
    <t>daiso11857</t>
  </si>
  <si>
    <t>11857/목공(종이)접착제</t>
  </si>
  <si>
    <t>60g</t>
  </si>
  <si>
    <t>daiso14508</t>
  </si>
  <si>
    <t>14508/홈실리콘마미씰(백색)</t>
  </si>
  <si>
    <t>80ml(백색)</t>
  </si>
  <si>
    <t>daiso14509</t>
  </si>
  <si>
    <t>14509/솔릭스픽스(금속용)</t>
  </si>
  <si>
    <t>금속용 20g</t>
  </si>
  <si>
    <t>daiso14510</t>
  </si>
  <si>
    <t>14510/미라클픽스(목재용)</t>
  </si>
  <si>
    <t>목재용 10g</t>
  </si>
  <si>
    <t>(주)에이엠이코리아</t>
  </si>
  <si>
    <t>daiso14511</t>
  </si>
  <si>
    <t>14511/미라클픽스(수중용)</t>
  </si>
  <si>
    <t>수중용 20g</t>
  </si>
  <si>
    <t>daiso14512</t>
  </si>
  <si>
    <t>14512/홈실리콘마미씰(투명)</t>
  </si>
  <si>
    <t>80ml(투명)</t>
  </si>
  <si>
    <t>daiso25920</t>
  </si>
  <si>
    <t>25920/미니글루건</t>
  </si>
  <si>
    <t>10W</t>
  </si>
  <si>
    <t>NINGBO KINGVOS ELECTRICAL APPLIANCE CO., LTD</t>
  </si>
  <si>
    <t>daiso25925</t>
  </si>
  <si>
    <t>25925/핫멜트알(소)8p</t>
  </si>
  <si>
    <t>7mm/20cm/8P</t>
  </si>
  <si>
    <t>[제품]</t>
  </si>
  <si>
    <t>daiso25926</t>
  </si>
  <si>
    <t>25926/Fix순간접착제(브러쉬)</t>
  </si>
  <si>
    <t>7g</t>
  </si>
  <si>
    <t>daiso25927</t>
  </si>
  <si>
    <t>25927/Fix접착제세트(공업용／순간접착제)</t>
  </si>
  <si>
    <t>daiso30617</t>
  </si>
  <si>
    <t>30617/다용도가스라이터</t>
  </si>
  <si>
    <t>일반</t>
  </si>
  <si>
    <t>NINGBO JIAWEI ELECTRON CO., LTD</t>
  </si>
  <si>
    <t>daiso30618</t>
  </si>
  <si>
    <t>30618/다용도가스라이터[고급형]</t>
  </si>
  <si>
    <t>daiso30915</t>
  </si>
  <si>
    <t>30915/솔릭스픽스(다목적용)</t>
  </si>
  <si>
    <t>다목적용 20g</t>
  </si>
  <si>
    <t>daiso30916</t>
  </si>
  <si>
    <t>30916/도어고정쇠(말발굽)</t>
  </si>
  <si>
    <t>daiso39930</t>
  </si>
  <si>
    <t>39930/바이오홈실리콘(투명)</t>
  </si>
  <si>
    <t>daiso39931</t>
  </si>
  <si>
    <t>39931/바이오홈실리콘(백색)</t>
  </si>
  <si>
    <t>daiso43525</t>
  </si>
  <si>
    <t>43525/다용도튜브접착제(30ml)</t>
  </si>
  <si>
    <t>daiso43526</t>
  </si>
  <si>
    <t>43526/접착제제거제</t>
  </si>
  <si>
    <t>daiso57385</t>
  </si>
  <si>
    <t>57385/FIX순간접착제5G</t>
  </si>
  <si>
    <t>daiso57386</t>
  </si>
  <si>
    <t>57386/FIX순간접착제20G</t>
  </si>
  <si>
    <t>daiso57387</t>
  </si>
  <si>
    <t>57387/FIX순간접착제5G(브러쉬형)</t>
  </si>
  <si>
    <t>daiso57388</t>
  </si>
  <si>
    <t>57388/FIX접착제세트(15G＋30ML)</t>
  </si>
  <si>
    <t>daiso57389</t>
  </si>
  <si>
    <t>57389/롱노우즈100(가정용)</t>
  </si>
  <si>
    <t>daiso57390</t>
  </si>
  <si>
    <t>57390/롱노우즈100</t>
  </si>
  <si>
    <t>NINGBO ZENMY IMP AND EXP CO., LTD</t>
  </si>
  <si>
    <t>daiso57391</t>
  </si>
  <si>
    <t>57391/롱노우즈150</t>
  </si>
  <si>
    <t>daiso57392</t>
  </si>
  <si>
    <t>57392/롱노우즈150(손잡이)</t>
  </si>
  <si>
    <t>daiso57393</t>
  </si>
  <si>
    <t>57393/롱노우즈175</t>
  </si>
  <si>
    <t>daiso57394</t>
  </si>
  <si>
    <t>57394/니퍼100(가정용)</t>
  </si>
  <si>
    <t>daiso57395</t>
  </si>
  <si>
    <t>57395/니퍼100</t>
  </si>
  <si>
    <t>daiso57396</t>
  </si>
  <si>
    <t>57396/니퍼150</t>
  </si>
  <si>
    <t>daiso57397</t>
  </si>
  <si>
    <t>57397/니퍼150(손잡이)</t>
  </si>
  <si>
    <t>daiso57398</t>
  </si>
  <si>
    <t>57398/니퍼175</t>
  </si>
  <si>
    <t>daiso57399</t>
  </si>
  <si>
    <t>57399/펜치100(가정용)</t>
  </si>
  <si>
    <t>daiso57400</t>
  </si>
  <si>
    <t>57400/펜치100</t>
  </si>
  <si>
    <t>daiso57401</t>
  </si>
  <si>
    <t>57401/펜치150</t>
  </si>
  <si>
    <t>daiso57402</t>
  </si>
  <si>
    <t>57402/펜치150(손잡이)</t>
  </si>
  <si>
    <t>daiso57403</t>
  </si>
  <si>
    <t>57403/펜치175</t>
  </si>
  <si>
    <t>daiso57404</t>
  </si>
  <si>
    <t>57404/벤트노우즈115</t>
  </si>
  <si>
    <t>daiso57405</t>
  </si>
  <si>
    <t>57405/벤트노우즈150</t>
  </si>
  <si>
    <t>daiso57406</t>
  </si>
  <si>
    <t>57406/낚시용벤트노우즈150</t>
  </si>
  <si>
    <t>daiso57407</t>
  </si>
  <si>
    <t>57407/플라이어150</t>
  </si>
  <si>
    <t>LINAN ZHENFA TOOLS CO., LTD</t>
  </si>
  <si>
    <t>daiso57408</t>
  </si>
  <si>
    <t>57408/플라이어200</t>
  </si>
  <si>
    <t>daiso57409</t>
  </si>
  <si>
    <t>57409/간편와이어스트리퍼</t>
  </si>
  <si>
    <t>NINGBO XINJIAN TOOLS CO., LTD</t>
  </si>
  <si>
    <t>daiso57410</t>
  </si>
  <si>
    <t>57410/멍키스패너150</t>
  </si>
  <si>
    <t>HUNAN GIGA TRADING CO., LTD</t>
  </si>
  <si>
    <t>daiso57411</t>
  </si>
  <si>
    <t>57411/멍키스패너200</t>
  </si>
  <si>
    <t>daiso57412</t>
  </si>
  <si>
    <t>57412/미니망치(나무손잡이)</t>
  </si>
  <si>
    <t>daiso57413</t>
  </si>
  <si>
    <t>57413/스틸목망치</t>
  </si>
  <si>
    <t>LINYI HUACHUAN IMPORT AND EXPORT CO., LTD</t>
  </si>
  <si>
    <t>daiso57414</t>
  </si>
  <si>
    <t>57414/망치(나무손잡이)</t>
  </si>
  <si>
    <t>daiso57415</t>
  </si>
  <si>
    <t>57415/고무망치-소</t>
  </si>
  <si>
    <t>daiso57416</t>
  </si>
  <si>
    <t>57416/고무망치-대</t>
  </si>
  <si>
    <t>ZHEJIANG YONGKANG JIANLI TOOLS CO., LTD</t>
  </si>
  <si>
    <t>daiso57417</t>
  </si>
  <si>
    <t>57417/플라스틱스크래퍼3P／SET</t>
  </si>
  <si>
    <t>daiso57418</t>
  </si>
  <si>
    <t>57418/스텐스크래퍼35</t>
  </si>
  <si>
    <t>YUYAO LINSHAN XINFEI ELECTRIC APPLIANCE FACTORY</t>
  </si>
  <si>
    <t>daiso57419</t>
  </si>
  <si>
    <t>57419/스텐스크래퍼50</t>
  </si>
  <si>
    <t>daiso57420</t>
  </si>
  <si>
    <t>57420/스텐스크래퍼75</t>
  </si>
  <si>
    <t>daiso57421</t>
  </si>
  <si>
    <t>57421/스텐스크래퍼100</t>
  </si>
  <si>
    <t>daiso57422</t>
  </si>
  <si>
    <t>57422/케이블타이100MM(200PCS)</t>
  </si>
  <si>
    <t>ANHUI TAIKONG PLASTIC INDUSTRY CO., LTD</t>
  </si>
  <si>
    <t>daiso57423</t>
  </si>
  <si>
    <t>57423/케이블타이150MM(150PCS)</t>
  </si>
  <si>
    <t>daiso57424</t>
  </si>
  <si>
    <t>57424/케이블타이200MM(50PCS)</t>
  </si>
  <si>
    <t>daiso57425</t>
  </si>
  <si>
    <t>57425/미니헥소(당김방식)</t>
  </si>
  <si>
    <t>HANGZHOU TIANQIANG MACHINERY TOOLS CO., LTD</t>
  </si>
  <si>
    <t>daiso57426</t>
  </si>
  <si>
    <t>57426/미니헥소(조임방식)</t>
  </si>
  <si>
    <t>daiso57427</t>
  </si>
  <si>
    <t>57427/헥소날4P／SET</t>
  </si>
  <si>
    <t>daiso57428</t>
  </si>
  <si>
    <t>57428/건타카(가정용)-심100PCS포함</t>
  </si>
  <si>
    <t>NINGBO ZHONGRUI IMPORT END EXPORT CO., LTD</t>
  </si>
  <si>
    <t>daiso57429</t>
  </si>
  <si>
    <t>57429/파워스틸건타카(심100PCS포함)</t>
  </si>
  <si>
    <t>daiso57430</t>
  </si>
  <si>
    <t>57430/타카심2000PCS(6MM)</t>
  </si>
  <si>
    <t>daiso57431</t>
  </si>
  <si>
    <t>57431/글루건40W(대)</t>
  </si>
  <si>
    <t>daiso57432</t>
  </si>
  <si>
    <t>57432/글루건심(대)5p</t>
  </si>
  <si>
    <t>11mm/14cm/5P</t>
  </si>
  <si>
    <t>daiso57433</t>
  </si>
  <si>
    <t>57433/실리콘건(P건)</t>
  </si>
  <si>
    <t>경일산업</t>
  </si>
  <si>
    <t>daiso57434</t>
  </si>
  <si>
    <t>57434/뉴트럴TS회색</t>
  </si>
  <si>
    <t>daiso57435</t>
  </si>
  <si>
    <t>57435/뉴트럴TS백색</t>
  </si>
  <si>
    <t>daiso57436</t>
  </si>
  <si>
    <t>57436/뉴트럴TS투명</t>
  </si>
  <si>
    <t>daiso57451</t>
  </si>
  <si>
    <t>57451/점멸등모형감시카메라</t>
  </si>
  <si>
    <t>NINGBO FLASH I&amp;E CO., LTD</t>
  </si>
  <si>
    <t>daiso57453</t>
  </si>
  <si>
    <t>57453/하프문샤워헤드(실버)</t>
  </si>
  <si>
    <t>daiso57454</t>
  </si>
  <si>
    <t>57454/TPR샤워헤드(실버)</t>
  </si>
  <si>
    <t>daiso57456</t>
  </si>
  <si>
    <t>57456/플라워샤워헤드(실버)</t>
  </si>
  <si>
    <t>daiso57457</t>
  </si>
  <si>
    <t>57457/연수샤워헤드(백색)</t>
  </si>
  <si>
    <t>daiso57458</t>
  </si>
  <si>
    <t>57458/원형샤워헤드(백색)</t>
  </si>
  <si>
    <t>daiso57459</t>
  </si>
  <si>
    <t>57459/3기능샤워헤드(실버)</t>
  </si>
  <si>
    <t>NINGBO GREDOS SANITARY WARE CO., LTD</t>
  </si>
  <si>
    <t>daiso57461</t>
  </si>
  <si>
    <t>57461/크라운샤워헤드(실버)</t>
  </si>
  <si>
    <t>daiso57462</t>
  </si>
  <si>
    <t>57462/크라운샤워헤드(백색)</t>
  </si>
  <si>
    <t>daiso57464</t>
  </si>
  <si>
    <t>57464/연수샤워기헤드(백색)</t>
  </si>
  <si>
    <t>daiso57465</t>
  </si>
  <si>
    <t>57465/삼각샤워헤드(실버)</t>
  </si>
  <si>
    <t>daiso57466</t>
  </si>
  <si>
    <t>57466/레이저샤워헤드(백색)</t>
  </si>
  <si>
    <t>daiso57466A</t>
  </si>
  <si>
    <t>57466/고급3기능샤워헤드(실버)</t>
  </si>
  <si>
    <t>daiso57467-1</t>
  </si>
  <si>
    <t>57467/레이저샤워헤드(블랙)</t>
  </si>
  <si>
    <t>daiso57469A</t>
  </si>
  <si>
    <t>57469/3기능레이져샤워헤드(실버)</t>
  </si>
  <si>
    <t>daiso57470</t>
  </si>
  <si>
    <t>57470/레이저샤워헤드(실버)</t>
  </si>
  <si>
    <t>daiso57471</t>
  </si>
  <si>
    <t>57471/레이저샤워기헤드(대)</t>
  </si>
  <si>
    <t>daiso57472</t>
  </si>
  <si>
    <t>57472/메탈샤워호스1.5M</t>
  </si>
  <si>
    <t>daiso57473</t>
  </si>
  <si>
    <t>57473/메탈샤워호스2M</t>
  </si>
  <si>
    <t>daiso57474</t>
  </si>
  <si>
    <t>57474/PVC샤워호스1.5M</t>
  </si>
  <si>
    <t>daiso57475</t>
  </si>
  <si>
    <t>57475/PVC샤워호스2M</t>
  </si>
  <si>
    <t>daiso57476</t>
  </si>
  <si>
    <t>57476/투명은사샤워호스1.5M</t>
  </si>
  <si>
    <t>daiso57477</t>
  </si>
  <si>
    <t>57477/투명은사샤워호스2M</t>
  </si>
  <si>
    <t>daiso57478</t>
  </si>
  <si>
    <t>57478/PVC샤워세트1.5M</t>
  </si>
  <si>
    <t>daiso57479</t>
  </si>
  <si>
    <t>57479/PVC샤워세트2M</t>
  </si>
  <si>
    <t>daiso57480</t>
  </si>
  <si>
    <t>57480/투명은사샤워세트1.5M</t>
  </si>
  <si>
    <t>daiso57481</t>
  </si>
  <si>
    <t>57481/투명은사샤워세트2M</t>
  </si>
  <si>
    <t>daiso57482</t>
  </si>
  <si>
    <t>57482/메탈샤워세트1.5M</t>
  </si>
  <si>
    <t>YUYAO SMARTLIFE TRADING CO., LTD</t>
  </si>
  <si>
    <t>daiso57483</t>
  </si>
  <si>
    <t>57483/무브브라켓</t>
  </si>
  <si>
    <t>daiso57484</t>
  </si>
  <si>
    <t>57484/분사기(샤워호스용)</t>
  </si>
  <si>
    <t>NINGBO CIXI IMPORT AND EXPORT HOLDINGS CO., LTD</t>
  </si>
  <si>
    <t>daiso57485</t>
  </si>
  <si>
    <t>57485/분사기(일반호스용)</t>
  </si>
  <si>
    <t>daiso57486</t>
  </si>
  <si>
    <t>57486/7기능분사기(일반호스용)</t>
  </si>
  <si>
    <t>daiso57486-1</t>
  </si>
  <si>
    <t>7기능분사기(일반호스용)_색상랜덤</t>
  </si>
  <si>
    <t>daiso57487</t>
  </si>
  <si>
    <t>57487/원스톱급수캡</t>
  </si>
  <si>
    <t>daiso57488</t>
  </si>
  <si>
    <t>57488/투명물호스2M</t>
  </si>
  <si>
    <t>daiso57489</t>
  </si>
  <si>
    <t>57489/투명물호스3.3M</t>
  </si>
  <si>
    <t>daiso57490</t>
  </si>
  <si>
    <t>57490/호스연결구</t>
  </si>
  <si>
    <t>daiso57491</t>
  </si>
  <si>
    <t>57491/나사테이프2P／SET</t>
  </si>
  <si>
    <t>TAIXING CITY HONGDE ELECTRIC CO., LTD</t>
  </si>
  <si>
    <t>daiso57492</t>
  </si>
  <si>
    <t>57492/고정주방절수기(실버)</t>
  </si>
  <si>
    <t>daiso57493</t>
  </si>
  <si>
    <t>57493/회전주방절수기(백색)</t>
  </si>
  <si>
    <t>daiso57494</t>
  </si>
  <si>
    <t>57494/양변기조절대</t>
  </si>
  <si>
    <t>daiso57495</t>
  </si>
  <si>
    <t>57495/세면기조절대</t>
  </si>
  <si>
    <t>daiso57846</t>
  </si>
  <si>
    <t>57846/점화라이터(미니)</t>
  </si>
  <si>
    <t>미니</t>
  </si>
  <si>
    <t>daiso57847</t>
  </si>
  <si>
    <t>57847/굽은형점화라이터</t>
  </si>
  <si>
    <t>굽은형</t>
  </si>
  <si>
    <t>YUYAO HAPPY LIGHT INDUSTRIAL TRADING CO., LTD</t>
  </si>
  <si>
    <t>daiso57848</t>
  </si>
  <si>
    <t>57848/고급점화라이터(투톤)</t>
  </si>
  <si>
    <t>투톤</t>
  </si>
  <si>
    <t>daiso57849</t>
  </si>
  <si>
    <t>57849/고급점화라이터</t>
  </si>
  <si>
    <t>유선형</t>
  </si>
  <si>
    <t>daiso57850</t>
  </si>
  <si>
    <t>57850/미니점화라이터</t>
  </si>
  <si>
    <t>daiso57851</t>
  </si>
  <si>
    <t>57851/가스점화라이터</t>
  </si>
  <si>
    <t>고리형</t>
  </si>
  <si>
    <t>daiso57852</t>
  </si>
  <si>
    <t>57852/스프레이접착제70ml</t>
  </si>
  <si>
    <t>daiso59225</t>
  </si>
  <si>
    <t>59225/고압레이저절수헤드</t>
  </si>
  <si>
    <t>daiso59226</t>
  </si>
  <si>
    <t>59226/전기인두30W</t>
  </si>
  <si>
    <t>CHINA-BASE NINGBO FOREIGN TRADE CO., LTD</t>
  </si>
  <si>
    <t>daiso59227</t>
  </si>
  <si>
    <t>59227/땜납15g(전기인두용)</t>
  </si>
  <si>
    <t>daiso60750</t>
  </si>
  <si>
    <t>60750/투명주먹양용드라이버(6*38MM)</t>
  </si>
  <si>
    <t>daiso60751</t>
  </si>
  <si>
    <t>60751/투명양용드라이버(6*100MM)</t>
  </si>
  <si>
    <t>daiso60752</t>
  </si>
  <si>
    <t>60752/그립양용드라이버(6*100MM)</t>
  </si>
  <si>
    <t>daiso60753</t>
  </si>
  <si>
    <t>60753/그립드라이버세트(3*75MM)</t>
  </si>
  <si>
    <t>daiso60754</t>
  </si>
  <si>
    <t>60754/펜형드라이버 4IN1</t>
  </si>
  <si>
    <t>daiso60755</t>
  </si>
  <si>
    <t>60755/펜타입드라이버8P/SET</t>
  </si>
  <si>
    <t>NINGBO BEILUN RWX OUTDOOR PRODUCTS CO., LTD</t>
  </si>
  <si>
    <t>daiso60756</t>
  </si>
  <si>
    <t>60756/케이스정밀드라이버6P/SET</t>
  </si>
  <si>
    <t>daiso60757</t>
  </si>
  <si>
    <t>60757/육각렌치링10P/SET</t>
  </si>
  <si>
    <t>daiso60758</t>
  </si>
  <si>
    <t>60758/송곳 2P/SET</t>
  </si>
  <si>
    <t>daiso60759</t>
  </si>
  <si>
    <t>60759/공구용줄3P/SET(＃120)</t>
  </si>
  <si>
    <t>SUINING JUNJIE DIAMOND TOOLS CO., LTD</t>
  </si>
  <si>
    <t>daiso60760</t>
  </si>
  <si>
    <t>60760/오토락줄자19MM*5M</t>
  </si>
  <si>
    <t>daiso60761</t>
  </si>
  <si>
    <t>60761/미니줄자6MM*3M</t>
  </si>
  <si>
    <t>daiso61440</t>
  </si>
  <si>
    <t>61440/열쇠고리수예줄자150cm</t>
  </si>
  <si>
    <t>ETC</t>
  </si>
  <si>
    <t>daiso61446</t>
  </si>
  <si>
    <t>61446/기본원형수예줄자150cm</t>
  </si>
  <si>
    <t>8819910121468</t>
  </si>
  <si>
    <t>28819910121462</t>
  </si>
  <si>
    <t>38819910121469</t>
  </si>
  <si>
    <t>0</t>
  </si>
  <si>
    <t>8819910158921</t>
  </si>
  <si>
    <t>28819910158925</t>
  </si>
  <si>
    <t>38819910158922</t>
  </si>
  <si>
    <t>8819910197579</t>
  </si>
  <si>
    <t>28819910197573</t>
  </si>
  <si>
    <t>38819910197570</t>
  </si>
  <si>
    <t>38819910197587</t>
  </si>
  <si>
    <t>8819910197593</t>
  </si>
  <si>
    <t>28819910197597</t>
  </si>
  <si>
    <t>38819910197594</t>
  </si>
  <si>
    <t>38819910210170</t>
  </si>
  <si>
    <t>8819910243566</t>
  </si>
  <si>
    <t>28819910243560</t>
  </si>
  <si>
    <t>38819910243567</t>
  </si>
  <si>
    <t>8819910243672</t>
  </si>
  <si>
    <t>28819910243676</t>
  </si>
  <si>
    <t>38819910243673</t>
  </si>
  <si>
    <t>8819910243696</t>
  </si>
  <si>
    <t>28819910243690</t>
  </si>
  <si>
    <t>38819910243697</t>
  </si>
  <si>
    <t>8819910267180</t>
  </si>
  <si>
    <t>28819910267184</t>
  </si>
  <si>
    <t>38819910267181</t>
  </si>
  <si>
    <t>8819910267272</t>
  </si>
  <si>
    <t>28819910267276</t>
  </si>
  <si>
    <t>38819910267273</t>
  </si>
  <si>
    <t>8819910267289</t>
  </si>
  <si>
    <t>28819910267283</t>
  </si>
  <si>
    <t>38819910267280</t>
  </si>
  <si>
    <t>8819910291321</t>
  </si>
  <si>
    <t>28819910291325</t>
  </si>
  <si>
    <t>38819910291322</t>
  </si>
  <si>
    <t>8819910291338</t>
  </si>
  <si>
    <t>28819910291332</t>
  </si>
  <si>
    <t>38819910291339</t>
  </si>
  <si>
    <t>8819910291345</t>
  </si>
  <si>
    <t>28819910291349</t>
  </si>
  <si>
    <t>38819910291346</t>
  </si>
  <si>
    <t>8808739000108</t>
  </si>
  <si>
    <t>28808739103414</t>
  </si>
  <si>
    <t>38808739103411</t>
  </si>
  <si>
    <t>28808739103421</t>
  </si>
  <si>
    <t>38808739103428</t>
  </si>
  <si>
    <t>8819910347448</t>
  </si>
  <si>
    <t>28819910347442</t>
  </si>
  <si>
    <t>38819910347449</t>
  </si>
  <si>
    <t>8819910347493</t>
  </si>
  <si>
    <t>28819910347497</t>
  </si>
  <si>
    <t>38819910347494</t>
  </si>
  <si>
    <t>8819910347509</t>
  </si>
  <si>
    <t>28819910347503</t>
  </si>
  <si>
    <t>38819910347500</t>
  </si>
  <si>
    <t>8819910369556</t>
  </si>
  <si>
    <t>28819910369550</t>
  </si>
  <si>
    <t>38819910369557</t>
  </si>
  <si>
    <t>8819910380186</t>
  </si>
  <si>
    <t>28819910380180</t>
  </si>
  <si>
    <t>38819910380187</t>
  </si>
  <si>
    <t>8819910380193</t>
  </si>
  <si>
    <t>28819910380197</t>
  </si>
  <si>
    <t>38819910380194</t>
  </si>
  <si>
    <t>8819910381602</t>
  </si>
  <si>
    <t>28819910381606</t>
  </si>
  <si>
    <t>38819910381603</t>
  </si>
  <si>
    <t>8819910382913</t>
  </si>
  <si>
    <t>28819910382917</t>
  </si>
  <si>
    <t>38808739574846</t>
  </si>
  <si>
    <t>8819910387307</t>
  </si>
  <si>
    <t>28819910387301</t>
  </si>
  <si>
    <t>38819910387308</t>
  </si>
  <si>
    <t>8819910387314</t>
  </si>
  <si>
    <t>28819910387318</t>
  </si>
  <si>
    <t>38819910387315</t>
  </si>
  <si>
    <t>38819910417739</t>
  </si>
  <si>
    <t>0409910432879</t>
  </si>
  <si>
    <t>20409910432873</t>
  </si>
  <si>
    <t>30409910432870</t>
  </si>
  <si>
    <t>30409910438384</t>
  </si>
  <si>
    <t>30409910438391</t>
  </si>
  <si>
    <t>30409910438407</t>
  </si>
  <si>
    <t>30409910438414</t>
  </si>
  <si>
    <t>0409910440980</t>
  </si>
  <si>
    <t>20409910440984</t>
  </si>
  <si>
    <t>30409910440981</t>
  </si>
  <si>
    <t>0409910455809</t>
  </si>
  <si>
    <t>20409910455803</t>
  </si>
  <si>
    <t>30409910455800</t>
  </si>
  <si>
    <t>0409910455823</t>
  </si>
  <si>
    <t>20409910455827</t>
  </si>
  <si>
    <t>30409910455824</t>
  </si>
  <si>
    <t>30409910455862</t>
  </si>
  <si>
    <t>0409910455878</t>
  </si>
  <si>
    <t>20409910455872</t>
  </si>
  <si>
    <t>30409910455879</t>
  </si>
  <si>
    <t>0409910468977</t>
  </si>
  <si>
    <t>20409910468971</t>
  </si>
  <si>
    <t>30409910468978</t>
  </si>
  <si>
    <t>0409910502237</t>
  </si>
  <si>
    <t>20409910502231</t>
  </si>
  <si>
    <t>30409910502238</t>
  </si>
  <si>
    <t>0409910502244</t>
  </si>
  <si>
    <t>20409910502248</t>
  </si>
  <si>
    <t>30409910502245</t>
  </si>
  <si>
    <t>0409910677485</t>
  </si>
  <si>
    <t>20409910677489</t>
  </si>
  <si>
    <t>30409910677486</t>
  </si>
  <si>
    <t>0409910677522</t>
  </si>
  <si>
    <t>20409910677526</t>
  </si>
  <si>
    <t>30409910677523</t>
  </si>
  <si>
    <t>0409910677539</t>
  </si>
  <si>
    <t>20409910677533</t>
  </si>
  <si>
    <t>30409910677530</t>
  </si>
  <si>
    <t>0409910697780</t>
  </si>
  <si>
    <t>20409910697784</t>
  </si>
  <si>
    <t>30409910697781</t>
  </si>
  <si>
    <t>0409910697797</t>
  </si>
  <si>
    <t>20409910697791</t>
  </si>
  <si>
    <t>30409910697798</t>
  </si>
  <si>
    <t>28808739118579</t>
  </si>
  <si>
    <t>38808739118576</t>
  </si>
  <si>
    <t>8808739000207</t>
  </si>
  <si>
    <t>28808739145087</t>
  </si>
  <si>
    <t>38808739145084</t>
  </si>
  <si>
    <t>28808739145094</t>
  </si>
  <si>
    <t>38808739145091</t>
  </si>
  <si>
    <t>38808739145107</t>
  </si>
  <si>
    <t>38808739145114</t>
  </si>
  <si>
    <t>28808739145124</t>
  </si>
  <si>
    <t>38808739145121</t>
  </si>
  <si>
    <t>8808739000306</t>
  </si>
  <si>
    <t>28808739259203</t>
  </si>
  <si>
    <t>38808739259200</t>
  </si>
  <si>
    <t>28808739259258</t>
  </si>
  <si>
    <t>38808739259255</t>
  </si>
  <si>
    <t>28808739309151</t>
  </si>
  <si>
    <t>38808739309158</t>
  </si>
  <si>
    <t>28808739309168</t>
  </si>
  <si>
    <t>38808739309165</t>
  </si>
  <si>
    <t>28808739399305</t>
  </si>
  <si>
    <t>38808739399302</t>
  </si>
  <si>
    <t>28808739399312</t>
  </si>
  <si>
    <t>38808739399319</t>
  </si>
  <si>
    <t>38808739435253</t>
  </si>
  <si>
    <t>28808739435263</t>
  </si>
  <si>
    <t>38808739435260</t>
  </si>
  <si>
    <t>28808739573859</t>
  </si>
  <si>
    <t>38808739573856</t>
  </si>
  <si>
    <t>28808739573866</t>
  </si>
  <si>
    <t>38808739573863</t>
  </si>
  <si>
    <t>28808739573873</t>
  </si>
  <si>
    <t>38808739573870</t>
  </si>
  <si>
    <t>28808739573880</t>
  </si>
  <si>
    <t>38808739573887</t>
  </si>
  <si>
    <t>38808739573894</t>
  </si>
  <si>
    <t>28808739573903</t>
  </si>
  <si>
    <t>38808739573900</t>
  </si>
  <si>
    <t>28808739573910</t>
  </si>
  <si>
    <t>38808739573917</t>
  </si>
  <si>
    <t>28808739573927</t>
  </si>
  <si>
    <t>38808739573924</t>
  </si>
  <si>
    <t>38808739573931</t>
  </si>
  <si>
    <t>38808739573948</t>
  </si>
  <si>
    <t>28808739573958</t>
  </si>
  <si>
    <t>38808739573955</t>
  </si>
  <si>
    <t>28808739573965</t>
  </si>
  <si>
    <t>38808739573962</t>
  </si>
  <si>
    <t>28808739573972</t>
  </si>
  <si>
    <t>38808739573979</t>
  </si>
  <si>
    <t>38808739573986</t>
  </si>
  <si>
    <t>38808739573993</t>
  </si>
  <si>
    <t>28808739574009</t>
  </si>
  <si>
    <t>38808739574006</t>
  </si>
  <si>
    <t>28808739574016</t>
  </si>
  <si>
    <t>38808739574013</t>
  </si>
  <si>
    <t>28808739574023</t>
  </si>
  <si>
    <t>38808739574020</t>
  </si>
  <si>
    <t>38808739574037</t>
  </si>
  <si>
    <t>38808739574044</t>
  </si>
  <si>
    <t>38808739574051</t>
  </si>
  <si>
    <t>38808739574068</t>
  </si>
  <si>
    <t>38808739574075</t>
  </si>
  <si>
    <t>38808739574082</t>
  </si>
  <si>
    <t>28808739574092</t>
  </si>
  <si>
    <t>38808739574099</t>
  </si>
  <si>
    <t>28808739574108</t>
  </si>
  <si>
    <t>38808739574105</t>
  </si>
  <si>
    <t>28808739574115</t>
  </si>
  <si>
    <t>38808739574112</t>
  </si>
  <si>
    <t>38808739574129</t>
  </si>
  <si>
    <t>28808739574139</t>
  </si>
  <si>
    <t>38808739574136</t>
  </si>
  <si>
    <t>28808739574146</t>
  </si>
  <si>
    <t>38808739574143</t>
  </si>
  <si>
    <t>38808739574150</t>
  </si>
  <si>
    <t>28808739574160</t>
  </si>
  <si>
    <t>38808739574167</t>
  </si>
  <si>
    <t>28808739574184</t>
  </si>
  <si>
    <t>38808739574181</t>
  </si>
  <si>
    <t>28808739574191</t>
  </si>
  <si>
    <t>38808739574198</t>
  </si>
  <si>
    <t>28808739574207</t>
  </si>
  <si>
    <t>38808739574204</t>
  </si>
  <si>
    <t>28808739574214</t>
  </si>
  <si>
    <t>38808739574211</t>
  </si>
  <si>
    <t>28808739574221</t>
  </si>
  <si>
    <t>38808739574228</t>
  </si>
  <si>
    <t>28808739574238</t>
  </si>
  <si>
    <t>38808739574235</t>
  </si>
  <si>
    <t>28808739574245</t>
  </si>
  <si>
    <t>38808739574242</t>
  </si>
  <si>
    <t>38808739574259</t>
  </si>
  <si>
    <t>38808739574266</t>
  </si>
  <si>
    <t>38808739574273</t>
  </si>
  <si>
    <t>38808739574280</t>
  </si>
  <si>
    <t>8808739000504</t>
  </si>
  <si>
    <t>28808739574290</t>
  </si>
  <si>
    <t>38808739574297</t>
  </si>
  <si>
    <t>28808739574306</t>
  </si>
  <si>
    <t>38808739574303</t>
  </si>
  <si>
    <t>28808739574313</t>
  </si>
  <si>
    <t>38808739574310</t>
  </si>
  <si>
    <t>28808739574320</t>
  </si>
  <si>
    <t>38808739574327</t>
  </si>
  <si>
    <t>28808739574337</t>
  </si>
  <si>
    <t>38808739574334</t>
  </si>
  <si>
    <t>38808739574341</t>
  </si>
  <si>
    <t>38808739574358</t>
  </si>
  <si>
    <t>38808739574365</t>
  </si>
  <si>
    <t>28808739574511</t>
  </si>
  <si>
    <t>38808739574518</t>
  </si>
  <si>
    <t>38808739574532</t>
  </si>
  <si>
    <t>28808739574542</t>
  </si>
  <si>
    <t>38808739574549</t>
  </si>
  <si>
    <t>38808739574563</t>
  </si>
  <si>
    <t>38808739574570</t>
  </si>
  <si>
    <t>38808739574587</t>
  </si>
  <si>
    <t>28808739574597</t>
  </si>
  <si>
    <t>38808739574594</t>
  </si>
  <si>
    <t>38808739574617</t>
  </si>
  <si>
    <t>38808739574624</t>
  </si>
  <si>
    <t>38808739574648</t>
  </si>
  <si>
    <t>38808739574655</t>
  </si>
  <si>
    <t>28808739574665</t>
  </si>
  <si>
    <t>38808739574662</t>
  </si>
  <si>
    <t>28808739574672</t>
  </si>
  <si>
    <t>38808739574679</t>
  </si>
  <si>
    <t>28808739574696</t>
  </si>
  <si>
    <t>38808739574693</t>
  </si>
  <si>
    <t>28808739574702</t>
  </si>
  <si>
    <t>38808739574709</t>
  </si>
  <si>
    <t>28808739574719</t>
  </si>
  <si>
    <t>38808739574716</t>
  </si>
  <si>
    <t>28808739574726</t>
  </si>
  <si>
    <t>38808739574723</t>
  </si>
  <si>
    <t>28808739574733</t>
  </si>
  <si>
    <t>38808739574730</t>
  </si>
  <si>
    <t>38808739574747</t>
  </si>
  <si>
    <t>38808739574754</t>
  </si>
  <si>
    <t>38808739574761</t>
  </si>
  <si>
    <t>28808739574771</t>
  </si>
  <si>
    <t>38808739574778</t>
  </si>
  <si>
    <t>38808739574785</t>
  </si>
  <si>
    <t>38808739574792</t>
  </si>
  <si>
    <t>38808739574808</t>
  </si>
  <si>
    <t>38808739574815</t>
  </si>
  <si>
    <t>38808739574822</t>
  </si>
  <si>
    <t>28808739574832</t>
  </si>
  <si>
    <t>38808739574839</t>
  </si>
  <si>
    <t>28808739574856</t>
  </si>
  <si>
    <t>38808739574853</t>
  </si>
  <si>
    <t>38808739574860</t>
  </si>
  <si>
    <t>28808739574870</t>
  </si>
  <si>
    <t>38808739574877</t>
  </si>
  <si>
    <t>28808739574887</t>
  </si>
  <si>
    <t>38808739574884</t>
  </si>
  <si>
    <t>28808739574894</t>
  </si>
  <si>
    <t>38808739574891</t>
  </si>
  <si>
    <t>28808739574900</t>
  </si>
  <si>
    <t>38808739574907</t>
  </si>
  <si>
    <t>28808739574917</t>
  </si>
  <si>
    <t>38808739574914</t>
  </si>
  <si>
    <t>28808739574924</t>
  </si>
  <si>
    <t>38808739574921</t>
  </si>
  <si>
    <t>38808739574938</t>
  </si>
  <si>
    <t>38808739574945</t>
  </si>
  <si>
    <t>38808739574952</t>
  </si>
  <si>
    <t>28808739578465</t>
  </si>
  <si>
    <t>38808739578462</t>
  </si>
  <si>
    <t>28808739578472</t>
  </si>
  <si>
    <t>38808739578479</t>
  </si>
  <si>
    <t>28808739578489</t>
  </si>
  <si>
    <t>38808739578486</t>
  </si>
  <si>
    <t>28808739578496</t>
  </si>
  <si>
    <t>38808739578493</t>
  </si>
  <si>
    <t>28808739578502</t>
  </si>
  <si>
    <t>38808739578509</t>
  </si>
  <si>
    <t>28808739578519</t>
  </si>
  <si>
    <t>38808739578516</t>
  </si>
  <si>
    <t>28808739578526</t>
  </si>
  <si>
    <t>38808739578523</t>
  </si>
  <si>
    <t>28808739592256</t>
  </si>
  <si>
    <t>38808739592253</t>
  </si>
  <si>
    <t>28808739592263</t>
  </si>
  <si>
    <t>38808739592260</t>
  </si>
  <si>
    <t>28808739592270</t>
  </si>
  <si>
    <t>38808739592277</t>
  </si>
  <si>
    <t>28808739607509</t>
  </si>
  <si>
    <t>38808739607506</t>
  </si>
  <si>
    <t>28808739607516</t>
  </si>
  <si>
    <t>38808739607513</t>
  </si>
  <si>
    <t>28808739607523</t>
  </si>
  <si>
    <t>38808739607520</t>
  </si>
  <si>
    <t>28808739607530</t>
  </si>
  <si>
    <t>38808739607537</t>
  </si>
  <si>
    <t>28808739607554</t>
  </si>
  <si>
    <t>38808739607551</t>
  </si>
  <si>
    <t>38808739607568</t>
  </si>
  <si>
    <t>38808739607575</t>
  </si>
  <si>
    <t>28808739607585</t>
  </si>
  <si>
    <t>38808739607582</t>
  </si>
  <si>
    <t>28808739607592</t>
  </si>
  <si>
    <t>38808739607599</t>
  </si>
  <si>
    <t>28808739607608</t>
  </si>
  <si>
    <t>38808739607605</t>
  </si>
  <si>
    <t>28808739607615</t>
  </si>
  <si>
    <t>38808739607612</t>
  </si>
  <si>
    <t>28808739614408</t>
  </si>
  <si>
    <t>38808739614405</t>
  </si>
  <si>
    <t>28808739614460</t>
  </si>
  <si>
    <t>38808739614467</t>
  </si>
  <si>
    <t>단종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</si>
</sst>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me/Desktop/&#45796;&#51060;&#49548;&#54028;&#51068;/03_&#51060;&#52852;&#50868;&#53944;&#51077;&#47141;/&#45796;&#51060;&#49548;%20&#51060;&#52852;&#50868;&#53944;%20&#51077;&#47141;%20&#44592;&#48376;_0414,0416%20&#51221;&#44592;_&#52636;&#54616;&#51077;&#47141;&#52628;&#440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고(남사)"/>
      <sheetName val="다이소입고(남사)"/>
      <sheetName val="입고확인(남사)"/>
      <sheetName val="출하입력_남사"/>
      <sheetName val="이카운트_남사"/>
      <sheetName val="출고(안성)"/>
      <sheetName val="다이소입고(안성)"/>
      <sheetName val="출하입력_안성"/>
      <sheetName val="입고확인(안성)"/>
      <sheetName val="이카운트_안성"/>
      <sheetName val="출고(부산)"/>
      <sheetName val="다이소입고(부산)"/>
      <sheetName val="출하입력_부산"/>
      <sheetName val="입고확인(부산)"/>
      <sheetName val="이카운트_부산"/>
      <sheetName val="가격 누적"/>
      <sheetName val="가격 20250722"/>
      <sheetName val="기본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B1" t="str">
            <v>품목코드</v>
          </cell>
          <cell r="C1" t="str">
            <v>바코드</v>
          </cell>
          <cell r="D1" t="str">
            <v>이카운트 품목명</v>
          </cell>
          <cell r="E1" t="str">
            <v>다이소출고 품목명</v>
          </cell>
        </row>
        <row r="2">
          <cell r="B2" t="str">
            <v>daiso1024367</v>
          </cell>
          <cell r="C2" t="str">
            <v>38819910243673</v>
          </cell>
          <cell r="D2" t="str">
            <v>1024367/2단계필터샤워기</v>
          </cell>
          <cell r="E2" t="str">
            <v>2단계 필터샤워기</v>
          </cell>
        </row>
        <row r="3">
          <cell r="B3" t="str">
            <v>daiso57469A</v>
          </cell>
          <cell r="C3" t="str">
            <v>38808739574693</v>
          </cell>
          <cell r="D3" t="str">
            <v>57469/3기능레이져샤워헤드(실버)</v>
          </cell>
          <cell r="E3" t="str">
            <v>3기능 레이져샤워헤드(실버)</v>
          </cell>
        </row>
        <row r="4">
          <cell r="B4" t="str">
            <v>daiso57469</v>
          </cell>
          <cell r="D4" t="str">
            <v>57469/레이저샤워헤드(투명)</v>
          </cell>
          <cell r="E4" t="str">
            <v>3기능 레이져샤워헤드(실버)</v>
          </cell>
        </row>
        <row r="5">
          <cell r="B5" t="str">
            <v>daiso57459</v>
          </cell>
          <cell r="C5" t="str">
            <v>38808739574594</v>
          </cell>
          <cell r="D5" t="str">
            <v>57459/3기능샤워헤드(실버)</v>
          </cell>
          <cell r="E5" t="str">
            <v>3기능샤워헤드(실버)</v>
          </cell>
        </row>
        <row r="6">
          <cell r="B6" t="str">
            <v>daiso57386</v>
          </cell>
          <cell r="C6" t="str">
            <v>38808739573863</v>
          </cell>
          <cell r="D6" t="str">
            <v>57386/FIX순간접착제20G</v>
          </cell>
          <cell r="E6" t="str">
            <v>FIX순간접착제(20 g)</v>
          </cell>
        </row>
        <row r="7">
          <cell r="B7" t="str">
            <v>daiso57385</v>
          </cell>
          <cell r="C7" t="str">
            <v>38808739573856</v>
          </cell>
          <cell r="D7" t="str">
            <v>57385/FIX순간접착제5G</v>
          </cell>
          <cell r="E7" t="str">
            <v>FIX순간접착제(5 g)</v>
          </cell>
        </row>
        <row r="8">
          <cell r="B8" t="str">
            <v>daiso57387</v>
          </cell>
          <cell r="C8" t="str">
            <v>38808739573870</v>
          </cell>
          <cell r="D8" t="str">
            <v>57387/FIX순간접착제5G(브러쉬형)</v>
          </cell>
          <cell r="E8" t="str">
            <v>FIX순간접착제(5 g)(브러쉬형)</v>
          </cell>
        </row>
        <row r="9">
          <cell r="B9" t="str">
            <v>daiso10341</v>
          </cell>
          <cell r="C9" t="str">
            <v>38808739103411</v>
          </cell>
          <cell r="D9" t="str">
            <v>10341/Fix순간접착제(젤형)</v>
          </cell>
          <cell r="E9" t="str">
            <v>FIX순간접착제(젤형)</v>
          </cell>
        </row>
        <row r="10">
          <cell r="B10" t="str">
            <v>daiso10342</v>
          </cell>
          <cell r="C10" t="str">
            <v>38808739103428</v>
          </cell>
          <cell r="D10" t="str">
            <v>10342/Fix순간접착제(펜형)</v>
          </cell>
          <cell r="E10" t="str">
            <v>FIX순간접착제(펜형)</v>
          </cell>
        </row>
        <row r="11">
          <cell r="B11" t="str">
            <v>daiso57388</v>
          </cell>
          <cell r="C11" t="str">
            <v>38808739573887</v>
          </cell>
          <cell r="D11" t="str">
            <v>57388/FIX접착제세트(15G＋30ML)</v>
          </cell>
          <cell r="E11" t="str">
            <v>FIX접착제세트(15 g+30 ml)</v>
          </cell>
        </row>
        <row r="12">
          <cell r="B12" t="str">
            <v>daiso57454</v>
          </cell>
          <cell r="C12" t="str">
            <v>38808739574549</v>
          </cell>
          <cell r="D12" t="str">
            <v>57454/TPR샤워헤드(실버)</v>
          </cell>
          <cell r="E12" t="str">
            <v>TPR샤워헤드(실버)</v>
          </cell>
        </row>
        <row r="13">
          <cell r="B13" t="str">
            <v>daiso57851</v>
          </cell>
          <cell r="C13" t="str">
            <v>38808739578516</v>
          </cell>
          <cell r="D13" t="str">
            <v>57851/가스점화라이터</v>
          </cell>
          <cell r="E13" t="str">
            <v>가스점화라이터</v>
          </cell>
        </row>
        <row r="14">
          <cell r="B14" t="str">
            <v>daiso57409</v>
          </cell>
          <cell r="C14" t="str">
            <v>38808739574099</v>
          </cell>
          <cell r="D14" t="str">
            <v>57409/간편와이어스트리퍼</v>
          </cell>
          <cell r="E14" t="str">
            <v>간편와이어스트리퍼</v>
          </cell>
        </row>
        <row r="15">
          <cell r="B15" t="str">
            <v>daiso57466A</v>
          </cell>
          <cell r="C15" t="str">
            <v>38808739574662</v>
          </cell>
          <cell r="D15" t="str">
            <v>57466/고급3기능샤워헤드(실버)</v>
          </cell>
          <cell r="E15" t="str">
            <v>고급3기능샤워헤드(실버)</v>
          </cell>
        </row>
        <row r="16">
          <cell r="B16" t="str">
            <v>daiso57466</v>
          </cell>
          <cell r="C16" t="str">
            <v>38808739574662</v>
          </cell>
          <cell r="D16" t="str">
            <v>57466/레이저샤워헤드(백색)</v>
          </cell>
          <cell r="E16" t="str">
            <v>고급3기능샤워헤드(실버)</v>
          </cell>
        </row>
        <row r="17">
          <cell r="B17" t="str">
            <v>daiso57849</v>
          </cell>
          <cell r="C17" t="str">
            <v>38808739578493</v>
          </cell>
          <cell r="D17" t="str">
            <v>57849/고급점화라이터</v>
          </cell>
          <cell r="E17" t="str">
            <v>고급점화라이터</v>
          </cell>
        </row>
        <row r="18">
          <cell r="B18" t="str">
            <v>daiso57848</v>
          </cell>
          <cell r="C18" t="str">
            <v>38808739578486</v>
          </cell>
          <cell r="D18" t="str">
            <v>57848/고급점화라이터(투톤)</v>
          </cell>
          <cell r="E18" t="str">
            <v>고급점화라이터(투톤)</v>
          </cell>
        </row>
        <row r="19">
          <cell r="B19" t="str">
            <v>daiso57416</v>
          </cell>
          <cell r="C19" t="str">
            <v>38808739574167</v>
          </cell>
          <cell r="D19" t="str">
            <v>57416/고무망치-대</v>
          </cell>
          <cell r="E19" t="str">
            <v>고무망치-대</v>
          </cell>
        </row>
        <row r="20">
          <cell r="B20" t="str">
            <v>daiso59225</v>
          </cell>
          <cell r="C20" t="str">
            <v>38808739592253</v>
          </cell>
          <cell r="D20" t="str">
            <v>59225/고압레이저절수헤드</v>
          </cell>
          <cell r="E20" t="str">
            <v>고압 레이저 절수헤드</v>
          </cell>
        </row>
        <row r="21">
          <cell r="B21" t="str">
            <v>daiso57492</v>
          </cell>
          <cell r="C21" t="str">
            <v>38808739574921</v>
          </cell>
          <cell r="D21" t="str">
            <v>57492/고정주방절수기(실버)</v>
          </cell>
          <cell r="E21" t="str">
            <v>고정주방절수기(실버)</v>
          </cell>
        </row>
        <row r="22">
          <cell r="B22" t="str">
            <v>daiso60759</v>
          </cell>
          <cell r="C22" t="str">
            <v>38808739607599</v>
          </cell>
          <cell r="D22" t="str">
            <v>60759/공구용줄3P/SET(＃120)</v>
          </cell>
          <cell r="E22" t="str">
            <v>공구용줄3P/SET(#120)</v>
          </cell>
        </row>
        <row r="23">
          <cell r="B23" t="str">
            <v>daiso57847</v>
          </cell>
          <cell r="C23" t="str">
            <v>38808739578479</v>
          </cell>
          <cell r="D23" t="str">
            <v>57847/굽은형점화라이터</v>
          </cell>
          <cell r="E23" t="str">
            <v>굽은형점화라이터</v>
          </cell>
        </row>
        <row r="24">
          <cell r="B24" t="str">
            <v>daiso60753</v>
          </cell>
          <cell r="C24" t="str">
            <v>38808739607537</v>
          </cell>
          <cell r="D24" t="str">
            <v>60753/그립드라이버세트(3*75MM)</v>
          </cell>
          <cell r="E24" t="str">
            <v>그립드라이버세트(3*75 mm)</v>
          </cell>
        </row>
        <row r="25">
          <cell r="B25" t="str">
            <v>daiso57431</v>
          </cell>
          <cell r="C25" t="str">
            <v>38808739574310</v>
          </cell>
          <cell r="D25" t="str">
            <v>57431/글루건40W(대)</v>
          </cell>
          <cell r="E25" t="str">
            <v>글루건40W(대)</v>
          </cell>
        </row>
        <row r="26">
          <cell r="B26" t="str">
            <v>daiso57432</v>
          </cell>
          <cell r="C26" t="str">
            <v>38808739574327</v>
          </cell>
          <cell r="D26" t="str">
            <v>57432/글루건심(대)5p</v>
          </cell>
          <cell r="E26" t="str">
            <v>글루건심(대)</v>
          </cell>
        </row>
        <row r="27">
          <cell r="B27" t="str">
            <v>daiso61446</v>
          </cell>
          <cell r="C27" t="str">
            <v>38808739614467</v>
          </cell>
          <cell r="D27" t="str">
            <v>61446/기본원형수예줄자150cm</v>
          </cell>
          <cell r="E27" t="str">
            <v>기본원형수예줄자(150 cm)</v>
          </cell>
        </row>
        <row r="28">
          <cell r="B28" t="str">
            <v>daiso1045586</v>
          </cell>
          <cell r="C28" t="str">
            <v>30409910455862</v>
          </cell>
          <cell r="D28" t="str">
            <v>1045586/길이조절 라쳇 멀티드라이버(PH2)</v>
          </cell>
          <cell r="E28" t="str">
            <v>길이조절 라쳇 멀티드라이버(PH2)</v>
          </cell>
        </row>
        <row r="29">
          <cell r="B29" t="str">
            <v>daiso57491</v>
          </cell>
          <cell r="C29" t="str">
            <v>38808739574914</v>
          </cell>
          <cell r="D29" t="str">
            <v>57491/나사테이프2P／SET</v>
          </cell>
          <cell r="E29" t="str">
            <v>나사테이프2P/SET</v>
          </cell>
        </row>
        <row r="30">
          <cell r="B30" t="str">
            <v>daiso1029134</v>
          </cell>
          <cell r="C30" t="str">
            <v>38819910291346</v>
          </cell>
          <cell r="D30" t="str">
            <v>1029134/녹물차단 필터</v>
          </cell>
          <cell r="E30" t="str">
            <v>녹물차단 필터</v>
          </cell>
        </row>
        <row r="31">
          <cell r="B31" t="str">
            <v>daiso57395</v>
          </cell>
          <cell r="C31" t="str">
            <v>38808739573955</v>
          </cell>
          <cell r="D31" t="str">
            <v>57395/니퍼100</v>
          </cell>
          <cell r="E31" t="str">
            <v>니퍼100</v>
          </cell>
        </row>
        <row r="32">
          <cell r="B32" t="str">
            <v>daiso57396</v>
          </cell>
          <cell r="C32" t="str">
            <v>38808739573962</v>
          </cell>
          <cell r="D32" t="str">
            <v>57396/니퍼150</v>
          </cell>
          <cell r="E32" t="str">
            <v>니퍼150</v>
          </cell>
        </row>
        <row r="33">
          <cell r="B33" t="str">
            <v>daiso57397</v>
          </cell>
          <cell r="C33" t="str">
            <v>38808739573979</v>
          </cell>
          <cell r="D33" t="str">
            <v>57397/니퍼150(손잡이)</v>
          </cell>
          <cell r="E33" t="str">
            <v>니퍼150(손잡이)</v>
          </cell>
        </row>
        <row r="34">
          <cell r="B34" t="str">
            <v>daiso30916</v>
          </cell>
          <cell r="C34" t="str">
            <v>38808739309165</v>
          </cell>
          <cell r="D34" t="str">
            <v>30916/도어고정쇠(말발굽)</v>
          </cell>
          <cell r="E34" t="str">
            <v>도어고정쇠(말발굽)</v>
          </cell>
        </row>
        <row r="35">
          <cell r="B35" t="str">
            <v>daiso59227</v>
          </cell>
          <cell r="C35" t="str">
            <v>38808739592277</v>
          </cell>
          <cell r="D35" t="str">
            <v>59227/땜납15g(전기인두용)</v>
          </cell>
          <cell r="E35" t="str">
            <v>땜납(15 g)(전기인두용)</v>
          </cell>
        </row>
        <row r="36">
          <cell r="B36" t="str">
            <v>daiso57471</v>
          </cell>
          <cell r="C36" t="str">
            <v>38808739574716</v>
          </cell>
          <cell r="D36" t="str">
            <v>57471/레이저샤워기헤드(대)</v>
          </cell>
          <cell r="E36" t="str">
            <v>레이저샤워기헤드(대)</v>
          </cell>
        </row>
        <row r="37">
          <cell r="B37" t="str">
            <v>daiso57467-1</v>
          </cell>
          <cell r="C37" t="str">
            <v>38808739574679</v>
          </cell>
          <cell r="D37" t="str">
            <v>57467/레이저샤워헤드(블랙)</v>
          </cell>
          <cell r="E37" t="str">
            <v>레이저샤워헤드(블랙)</v>
          </cell>
        </row>
        <row r="38">
          <cell r="B38" t="str">
            <v>daiso57467</v>
          </cell>
          <cell r="D38" t="str">
            <v>57467/레이저샤워헤드(블루)</v>
          </cell>
          <cell r="E38" t="str">
            <v>레이저샤워헤드(블랙)</v>
          </cell>
        </row>
        <row r="39">
          <cell r="B39" t="str">
            <v>daiso57470</v>
          </cell>
          <cell r="C39" t="str">
            <v>38808739574709</v>
          </cell>
          <cell r="D39" t="str">
            <v>57470/레이저샤워헤드(실버)</v>
          </cell>
          <cell r="E39" t="str">
            <v>레이저샤워헤드(실버)</v>
          </cell>
        </row>
        <row r="40">
          <cell r="B40" t="str">
            <v>daiso57390</v>
          </cell>
          <cell r="C40" t="str">
            <v>38808739573900</v>
          </cell>
          <cell r="D40" t="str">
            <v>57390/롱노우즈100</v>
          </cell>
          <cell r="E40" t="str">
            <v>롱노우즈100</v>
          </cell>
        </row>
        <row r="41">
          <cell r="B41" t="str">
            <v>daiso57391</v>
          </cell>
          <cell r="C41" t="str">
            <v>38808739573917</v>
          </cell>
          <cell r="D41" t="str">
            <v>57391/롱노우즈150</v>
          </cell>
          <cell r="E41" t="str">
            <v>롱노우즈150</v>
          </cell>
        </row>
        <row r="42">
          <cell r="B42" t="str">
            <v>daiso57392</v>
          </cell>
          <cell r="C42" t="str">
            <v>38808739573924</v>
          </cell>
          <cell r="D42" t="str">
            <v>57392/롱노우즈150(손잡이)</v>
          </cell>
          <cell r="E42" t="str">
            <v>롱노우즈150(손잡이)</v>
          </cell>
        </row>
        <row r="43">
          <cell r="B43" t="str">
            <v>daiso57414</v>
          </cell>
          <cell r="C43" t="str">
            <v>38808739574143</v>
          </cell>
          <cell r="D43" t="str">
            <v>57414/망치(나무손잡이)</v>
          </cell>
          <cell r="E43" t="str">
            <v>망치(나무손잡이)</v>
          </cell>
        </row>
        <row r="44">
          <cell r="B44" t="str">
            <v>daiso57410</v>
          </cell>
          <cell r="C44" t="str">
            <v>38808739574105</v>
          </cell>
          <cell r="D44" t="str">
            <v>57410/멍키스패너150</v>
          </cell>
          <cell r="E44" t="str">
            <v>멍키스패너150</v>
          </cell>
        </row>
        <row r="45">
          <cell r="B45" t="str">
            <v>daiso57411</v>
          </cell>
          <cell r="C45" t="str">
            <v>38808739574112</v>
          </cell>
          <cell r="D45" t="str">
            <v>57411/멍키스패너200</v>
          </cell>
          <cell r="E45" t="str">
            <v>멍키스패너200</v>
          </cell>
        </row>
        <row r="46">
          <cell r="B46" t="str">
            <v>daiso1019759</v>
          </cell>
          <cell r="C46" t="str">
            <v>38819910197594</v>
          </cell>
          <cell r="D46" t="str">
            <v>1019759/메탈샤워호스4M</v>
          </cell>
          <cell r="E46" t="str">
            <v>메탈 샤워호스 (4 m)</v>
          </cell>
        </row>
        <row r="47">
          <cell r="B47" t="str">
            <v>daiso57482</v>
          </cell>
          <cell r="C47" t="str">
            <v>38808739574822</v>
          </cell>
          <cell r="D47" t="str">
            <v>57482/메탈샤워세트1.5M</v>
          </cell>
          <cell r="E47" t="str">
            <v>메탈샤워세트(1.5 m)</v>
          </cell>
        </row>
        <row r="48">
          <cell r="B48" t="str">
            <v>daiso57472</v>
          </cell>
          <cell r="C48" t="str">
            <v>38808739574723</v>
          </cell>
          <cell r="D48" t="str">
            <v>57472/메탈샤워호스1.5M</v>
          </cell>
          <cell r="E48" t="str">
            <v>메탈샤워호스(1.5 m)</v>
          </cell>
        </row>
        <row r="49">
          <cell r="B49" t="str">
            <v>daiso57473</v>
          </cell>
          <cell r="C49" t="str">
            <v>38808739574730</v>
          </cell>
          <cell r="D49" t="str">
            <v>57473/메탈샤워호스2M</v>
          </cell>
          <cell r="E49" t="str">
            <v>메탈샤워호스(2 m)</v>
          </cell>
        </row>
        <row r="50">
          <cell r="B50" t="str">
            <v>daiso1046897</v>
          </cell>
          <cell r="C50" t="str">
            <v>30409910468978</v>
          </cell>
          <cell r="D50" t="str">
            <v>1046897/모던샤워기세트</v>
          </cell>
          <cell r="E50" t="str">
            <v>모던샤워기세트(1.5 m)</v>
          </cell>
        </row>
        <row r="51">
          <cell r="B51" t="str">
            <v>daiso11857</v>
          </cell>
          <cell r="C51" t="str">
            <v>38808739118576</v>
          </cell>
          <cell r="D51" t="str">
            <v>11857/목공(종이)접착제</v>
          </cell>
          <cell r="E51" t="str">
            <v>목공(종이)접착제</v>
          </cell>
        </row>
        <row r="52">
          <cell r="B52" t="str">
            <v>daiso57483</v>
          </cell>
          <cell r="C52" t="str">
            <v>38808739574839</v>
          </cell>
          <cell r="D52" t="str">
            <v>57483/무브브라켓</v>
          </cell>
          <cell r="E52" t="str">
            <v>무브브라켓</v>
          </cell>
        </row>
        <row r="53">
          <cell r="B53" t="str">
            <v>daiso1045587</v>
          </cell>
          <cell r="C53" t="str">
            <v>30409910455879</v>
          </cell>
          <cell r="D53" t="str">
            <v>1045587/미니 토치라이터</v>
          </cell>
          <cell r="E53" t="str">
            <v>미니 토치라이터</v>
          </cell>
        </row>
        <row r="54">
          <cell r="B54" t="str">
            <v>daiso57850</v>
          </cell>
          <cell r="C54" t="str">
            <v>38808739578509</v>
          </cell>
          <cell r="D54" t="str">
            <v>57850/미니점화라이터</v>
          </cell>
          <cell r="E54" t="str">
            <v>미니점화라이터</v>
          </cell>
        </row>
        <row r="55">
          <cell r="B55" t="str">
            <v>daiso60761</v>
          </cell>
          <cell r="C55" t="str">
            <v>38808739607612</v>
          </cell>
          <cell r="D55" t="str">
            <v>60761/투명줄자6MM*3M</v>
          </cell>
          <cell r="E55" t="str">
            <v>미니줄자(6 mm*3 m)</v>
          </cell>
        </row>
        <row r="56">
          <cell r="B56" t="str">
            <v>daiso1045580</v>
          </cell>
          <cell r="C56" t="str">
            <v>30409910455800</v>
          </cell>
          <cell r="D56" t="str">
            <v>1045580/미니톱(당김방식)</v>
          </cell>
          <cell r="E56" t="str">
            <v>미니톱(당김방식)</v>
          </cell>
        </row>
        <row r="57">
          <cell r="B57" t="str">
            <v>daiso1045582</v>
          </cell>
          <cell r="C57" t="str">
            <v>30409910455824</v>
          </cell>
          <cell r="D57" t="str">
            <v>1045582/미니톱날(4개입)</v>
          </cell>
          <cell r="E57" t="str">
            <v>미니톱날(4개입)</v>
          </cell>
        </row>
        <row r="58">
          <cell r="B58" t="str">
            <v>daiso39931</v>
          </cell>
          <cell r="C58" t="str">
            <v>38808739399319</v>
          </cell>
          <cell r="D58" t="str">
            <v>39931/바이오홈실리콘(백색)</v>
          </cell>
          <cell r="E58" t="str">
            <v>바이오홈실리콘(백색)</v>
          </cell>
        </row>
        <row r="59">
          <cell r="B59" t="str">
            <v>daiso39930</v>
          </cell>
          <cell r="C59" t="str">
            <v>38808739399302</v>
          </cell>
          <cell r="D59" t="str">
            <v>39930/바이오홈실리콘(투명)</v>
          </cell>
          <cell r="E59" t="str">
            <v>바이오홈실리콘(투명)</v>
          </cell>
        </row>
        <row r="60">
          <cell r="B60" t="str">
            <v>daiso1034749</v>
          </cell>
          <cell r="C60" t="str">
            <v>38819910347494</v>
          </cell>
          <cell r="D60" t="str">
            <v>1034749/백색 실란트 300ml</v>
          </cell>
          <cell r="E60" t="str">
            <v>백색 실란트 300ml</v>
          </cell>
        </row>
        <row r="61">
          <cell r="B61" t="str">
            <v>daiso57485</v>
          </cell>
          <cell r="C61" t="str">
            <v>38808739574853</v>
          </cell>
          <cell r="D61" t="str">
            <v>57485/분사기(일반호스용)</v>
          </cell>
          <cell r="E61" t="str">
            <v>분사기(일반호스용)</v>
          </cell>
        </row>
        <row r="62">
          <cell r="B62" t="str">
            <v>daiso1026728</v>
          </cell>
          <cell r="C62" t="str">
            <v>38819910267280</v>
          </cell>
          <cell r="D62" t="str">
            <v>1026728/비타민샤워필터(라벤더)</v>
          </cell>
          <cell r="E62" t="str">
            <v>비타민 샤워필터(라벤다)</v>
          </cell>
        </row>
        <row r="63">
          <cell r="B63" t="str">
            <v>daiso1026718</v>
          </cell>
          <cell r="C63" t="str">
            <v>38819910267181</v>
          </cell>
          <cell r="D63" t="str">
            <v>1026718/비타민샤워필터(레몬)</v>
          </cell>
          <cell r="E63" t="str">
            <v>비타민 샤워필터(레몬)</v>
          </cell>
        </row>
        <row r="64">
          <cell r="B64" t="str">
            <v>daiso1026727</v>
          </cell>
          <cell r="C64" t="str">
            <v>38819910267273</v>
          </cell>
          <cell r="D64" t="str">
            <v>1026727/비타민샤워필터(체리블라썸)</v>
          </cell>
          <cell r="E64" t="str">
            <v>비타민 샤워필터(체리블라썸)</v>
          </cell>
        </row>
        <row r="65">
          <cell r="B65" t="str">
            <v>daiso1038019</v>
          </cell>
          <cell r="C65" t="str">
            <v>38819910380194</v>
          </cell>
          <cell r="D65" t="str">
            <v>1038019/세면대필터리필(4개입)</v>
          </cell>
          <cell r="E65" t="str">
            <v>세면대필터리필(4개입)</v>
          </cell>
        </row>
        <row r="66">
          <cell r="B66" t="str">
            <v>daiso1038018</v>
          </cell>
          <cell r="C66" t="str">
            <v>38819910380187</v>
          </cell>
          <cell r="D66" t="str">
            <v>1038018/세면대필터세트(리필2개입포함)</v>
          </cell>
          <cell r="E66" t="str">
            <v>세면대필터세트(리필2개입)</v>
          </cell>
        </row>
        <row r="67">
          <cell r="B67" t="str">
            <v>daiso14509</v>
          </cell>
          <cell r="C67" t="str">
            <v>38808739145091</v>
          </cell>
          <cell r="D67" t="str">
            <v>14509/솔릭스픽스(금속용)</v>
          </cell>
          <cell r="E67" t="str">
            <v>솔릭스픽스(금속용)</v>
          </cell>
        </row>
        <row r="68">
          <cell r="B68" t="str">
            <v>daiso30915</v>
          </cell>
          <cell r="C68" t="str">
            <v>38808739309158</v>
          </cell>
          <cell r="D68" t="str">
            <v>30915/솔릭스픽스(다목적용)</v>
          </cell>
          <cell r="E68" t="str">
            <v>솔릭스픽스(다목적용)</v>
          </cell>
        </row>
        <row r="69">
          <cell r="B69" t="str">
            <v>daiso1043287</v>
          </cell>
          <cell r="C69" t="str">
            <v>30409910432870</v>
          </cell>
          <cell r="D69" t="str">
            <v>1043287/솔릭스픽스(목재용)</v>
          </cell>
          <cell r="E69" t="str">
            <v>솔릭스픽스(목재용)</v>
          </cell>
        </row>
        <row r="70">
          <cell r="B70" t="str">
            <v>daiso60758</v>
          </cell>
          <cell r="C70" t="str">
            <v>38808739607582</v>
          </cell>
          <cell r="D70" t="str">
            <v>60758/송곳 2P/SET</v>
          </cell>
          <cell r="E70" t="str">
            <v>송곳 2P/SET</v>
          </cell>
        </row>
        <row r="71">
          <cell r="B71" t="str">
            <v>daiso1036955</v>
          </cell>
          <cell r="C71" t="str">
            <v>38819910369557</v>
          </cell>
          <cell r="D71" t="str">
            <v>1036955/숏샤워기헤드</v>
          </cell>
          <cell r="E71" t="str">
            <v>숏샤워기헤드</v>
          </cell>
        </row>
        <row r="72">
          <cell r="B72" t="str">
            <v>daiso57421</v>
          </cell>
          <cell r="C72" t="str">
            <v>38808739574211</v>
          </cell>
          <cell r="D72" t="str">
            <v>57421/스텐스크래퍼100</v>
          </cell>
          <cell r="E72" t="str">
            <v>스텐스크래퍼100</v>
          </cell>
        </row>
        <row r="73">
          <cell r="B73" t="str">
            <v>daiso57418</v>
          </cell>
          <cell r="C73" t="str">
            <v>38808739574181</v>
          </cell>
          <cell r="D73" t="str">
            <v>57418/스텐스크래퍼35</v>
          </cell>
          <cell r="E73" t="str">
            <v>스텐스크래퍼35</v>
          </cell>
        </row>
        <row r="74">
          <cell r="B74" t="str">
            <v>daiso57419</v>
          </cell>
          <cell r="C74" t="str">
            <v>38808739574198</v>
          </cell>
          <cell r="D74" t="str">
            <v>57419/스텐스크래퍼50</v>
          </cell>
          <cell r="E74" t="str">
            <v>스텐스크래퍼50</v>
          </cell>
        </row>
        <row r="75">
          <cell r="B75" t="str">
            <v>daiso57420</v>
          </cell>
          <cell r="C75" t="str">
            <v>38808739574204</v>
          </cell>
          <cell r="D75" t="str">
            <v>57420/스텐스크래퍼75</v>
          </cell>
          <cell r="E75" t="str">
            <v>스텐스크래퍼75</v>
          </cell>
        </row>
        <row r="76">
          <cell r="B76" t="str">
            <v>daiso57413</v>
          </cell>
          <cell r="C76" t="str">
            <v>38808739574136</v>
          </cell>
          <cell r="D76" t="str">
            <v>57413/스틸목망치</v>
          </cell>
          <cell r="E76" t="str">
            <v>스틸목망치</v>
          </cell>
        </row>
        <row r="77">
          <cell r="B77" t="str">
            <v>daiso57852</v>
          </cell>
          <cell r="C77" t="str">
            <v>38808739578523</v>
          </cell>
          <cell r="D77" t="str">
            <v>57852/스프레이접착제70ml</v>
          </cell>
          <cell r="E77" t="str">
            <v>스프레이접착제(70 ml)</v>
          </cell>
        </row>
        <row r="78">
          <cell r="B78" t="str">
            <v>daiso57433</v>
          </cell>
          <cell r="C78" t="str">
            <v>38808739574334</v>
          </cell>
          <cell r="D78" t="str">
            <v>57433/실리콘건</v>
          </cell>
          <cell r="E78" t="str">
            <v>실리콘건</v>
          </cell>
        </row>
        <row r="79">
          <cell r="B79" t="str">
            <v>daiso1029132</v>
          </cell>
          <cell r="C79" t="str">
            <v>38819910291322</v>
          </cell>
          <cell r="D79" t="str">
            <v>1029132/싱크대용 필터헤드(핸디형)</v>
          </cell>
          <cell r="E79" t="str">
            <v>싱크대용 필터헤드(핸디형)</v>
          </cell>
        </row>
        <row r="80">
          <cell r="B80" t="str">
            <v>daiso1029133</v>
          </cell>
          <cell r="C80" t="str">
            <v>28819910291332</v>
          </cell>
          <cell r="D80" t="str">
            <v>1029133/싱크대용리필필터(4개입)</v>
          </cell>
          <cell r="E80" t="str">
            <v>싱크대용리필필터(4개입)</v>
          </cell>
        </row>
        <row r="81">
          <cell r="B81" t="str">
            <v>daiso1050223</v>
          </cell>
          <cell r="C81" t="str">
            <v>30409910502238</v>
          </cell>
          <cell r="D81" t="str">
            <v>1050223/아크릴실란트백색(300ml)</v>
          </cell>
          <cell r="E81" t="str">
            <v>아크릴실란트백색(300ml)</v>
          </cell>
        </row>
        <row r="82">
          <cell r="B82" t="str">
            <v>daiso1050224</v>
          </cell>
          <cell r="C82" t="str">
            <v>30409910502245</v>
          </cell>
          <cell r="D82" t="str">
            <v>1050224/아크릴실란트회색(300ml)</v>
          </cell>
          <cell r="E82" t="str">
            <v>아크릴실란트회색(300ml)</v>
          </cell>
        </row>
        <row r="83">
          <cell r="B83" t="str">
            <v>daiso1019757</v>
          </cell>
          <cell r="C83" t="str">
            <v>38819910197570</v>
          </cell>
          <cell r="D83" t="str">
            <v>1019757/양용타격드라이버</v>
          </cell>
          <cell r="E83" t="str">
            <v>양용타격드라이버</v>
          </cell>
        </row>
        <row r="84">
          <cell r="B84" t="str">
            <v>daiso61440</v>
          </cell>
          <cell r="C84" t="str">
            <v>38808739614405</v>
          </cell>
          <cell r="D84" t="str">
            <v>61440/열쇠고리수예줄자150cm</v>
          </cell>
          <cell r="E84" t="str">
            <v>열쇠고리수예줄자(150 cm)</v>
          </cell>
        </row>
        <row r="85">
          <cell r="B85" t="str">
            <v>daiso1038731</v>
          </cell>
          <cell r="C85" t="str">
            <v>38819910387315</v>
          </cell>
          <cell r="D85" t="str">
            <v>1038731/열쇠고리줄자(6mm*2mm)</v>
          </cell>
          <cell r="E85" t="str">
            <v>열쇠고리줄자(6 mm*2 m)</v>
          </cell>
        </row>
        <row r="86">
          <cell r="B86" t="str">
            <v>daiso60760</v>
          </cell>
          <cell r="C86" t="str">
            <v>38808739607605</v>
          </cell>
          <cell r="D86" t="str">
            <v>60760/오토락줄자19MM*5M</v>
          </cell>
          <cell r="E86" t="str">
            <v>오토락줄자(19 mm*5 m)</v>
          </cell>
        </row>
        <row r="87">
          <cell r="B87" t="str">
            <v>daiso1038730</v>
          </cell>
          <cell r="C87" t="str">
            <v>38819910387308</v>
          </cell>
          <cell r="D87" t="str">
            <v>1038730/오토락줄자 7.5M</v>
          </cell>
          <cell r="E87" t="str">
            <v>오토락줄자(25 mm*7.5 m)</v>
          </cell>
        </row>
        <row r="88">
          <cell r="B88" t="str">
            <v>daiso57487</v>
          </cell>
          <cell r="C88" t="str">
            <v>38808739574877</v>
          </cell>
          <cell r="D88" t="str">
            <v>57487/원스톱급수캡</v>
          </cell>
          <cell r="E88" t="str">
            <v>원스톱급수캡</v>
          </cell>
        </row>
        <row r="89">
          <cell r="B89" t="str">
            <v>daiso1044098</v>
          </cell>
          <cell r="C89" t="str">
            <v>30409910440981</v>
          </cell>
          <cell r="D89" t="str">
            <v>1044098/자바라 가스터보라이터</v>
          </cell>
          <cell r="E89" t="str">
            <v>자바라 가스터보라이터</v>
          </cell>
        </row>
        <row r="90">
          <cell r="B90" t="str">
            <v>daiso59226</v>
          </cell>
          <cell r="C90" t="str">
            <v>38808739592260</v>
          </cell>
          <cell r="D90" t="str">
            <v>59226/전기인두30W</v>
          </cell>
          <cell r="E90" t="str">
            <v>전기인두30W</v>
          </cell>
        </row>
        <row r="91">
          <cell r="B91" t="str">
            <v>daiso57451</v>
          </cell>
          <cell r="C91" t="str">
            <v>38808739574518</v>
          </cell>
          <cell r="D91" t="str">
            <v>57451/점멸등모형감시카메라</v>
          </cell>
          <cell r="E91" t="str">
            <v>점멸등모형감시카메라</v>
          </cell>
        </row>
        <row r="92">
          <cell r="B92" t="str">
            <v>daiso57846</v>
          </cell>
          <cell r="C92" t="str">
            <v>38808739578462</v>
          </cell>
          <cell r="D92" t="str">
            <v>57846/점화라이터(미니)</v>
          </cell>
          <cell r="E92" t="str">
            <v>점화라이터(미니)</v>
          </cell>
        </row>
        <row r="93">
          <cell r="B93" t="str">
            <v>daiso43526</v>
          </cell>
          <cell r="C93" t="str">
            <v>38808739435260</v>
          </cell>
          <cell r="D93" t="str">
            <v>43526/접착제제거제</v>
          </cell>
          <cell r="E93" t="str">
            <v>접착제제거제</v>
          </cell>
        </row>
        <row r="94">
          <cell r="B94" t="str">
            <v>daiso1015892</v>
          </cell>
          <cell r="C94" t="str">
            <v>38819910158922</v>
          </cell>
          <cell r="D94" t="str">
            <v>1015892/칼+날2P</v>
          </cell>
          <cell r="E94" t="str">
            <v>칼+날2P</v>
          </cell>
        </row>
        <row r="95">
          <cell r="B95" t="str">
            <v>daiso57422</v>
          </cell>
          <cell r="C95" t="str">
            <v>38808739574228</v>
          </cell>
          <cell r="D95" t="str">
            <v>57422/케이블타이100MM(200PCS)</v>
          </cell>
          <cell r="E95" t="str">
            <v>케이블타이(100 mm)(200PCS)</v>
          </cell>
        </row>
        <row r="96">
          <cell r="B96" t="str">
            <v>daiso57423</v>
          </cell>
          <cell r="C96" t="str">
            <v>38808739574235</v>
          </cell>
          <cell r="D96" t="str">
            <v>57423/케이블타이150MM(150PCS)</v>
          </cell>
          <cell r="E96" t="str">
            <v>케이블타이(150 mm)(150PCS)</v>
          </cell>
        </row>
        <row r="97">
          <cell r="B97" t="str">
            <v>daiso57424</v>
          </cell>
          <cell r="C97" t="str">
            <v>38808739574242</v>
          </cell>
          <cell r="D97" t="str">
            <v>57424/케이블타이200MM(50PCS)</v>
          </cell>
          <cell r="E97" t="str">
            <v>케이블타이(200 mm)(50PCS)</v>
          </cell>
        </row>
        <row r="98">
          <cell r="B98" t="str">
            <v>daiso57430</v>
          </cell>
          <cell r="C98" t="str">
            <v>38808739574303</v>
          </cell>
          <cell r="D98" t="str">
            <v>57430/타카심2000PCS(6MM)</v>
          </cell>
          <cell r="E98" t="str">
            <v>타카심2000PCS(6 mm)</v>
          </cell>
        </row>
        <row r="99">
          <cell r="B99" t="str">
            <v>daiso1034750</v>
          </cell>
          <cell r="C99" t="str">
            <v>38819910347500</v>
          </cell>
          <cell r="D99" t="str">
            <v>1034750/투명 실란트 300ml</v>
          </cell>
          <cell r="E99" t="str">
            <v>투명 실란트 300ml</v>
          </cell>
        </row>
        <row r="100">
          <cell r="B100" t="str">
            <v>daiso57489</v>
          </cell>
          <cell r="C100" t="str">
            <v>38808739574891</v>
          </cell>
          <cell r="D100" t="str">
            <v>57489/투명물호스3.3M</v>
          </cell>
          <cell r="E100" t="str">
            <v>투명물호스(3.3 m)</v>
          </cell>
        </row>
        <row r="101">
          <cell r="B101" t="str">
            <v>daiso60751</v>
          </cell>
          <cell r="C101" t="str">
            <v>38808739607513</v>
          </cell>
          <cell r="D101" t="str">
            <v>60751/투명양용드라이버(6*100MM)</v>
          </cell>
          <cell r="E101" t="str">
            <v>투명양용드라이버(6*100 mm)</v>
          </cell>
        </row>
        <row r="102">
          <cell r="B102" t="str">
            <v>daiso60750</v>
          </cell>
          <cell r="C102" t="str">
            <v>38808739607506</v>
          </cell>
          <cell r="D102" t="str">
            <v>60750/투명주먹양용드라이버(6*38MM)</v>
          </cell>
          <cell r="E102" t="str">
            <v>투명주먹양용드라이버(6*38 mm)</v>
          </cell>
        </row>
        <row r="103">
          <cell r="B103" t="str">
            <v>daiso57429</v>
          </cell>
          <cell r="C103" t="str">
            <v>38808739574297</v>
          </cell>
          <cell r="D103" t="str">
            <v>57429/파워스틸건타카(심100PCS포함)</v>
          </cell>
          <cell r="E103" t="str">
            <v>파워스틸건타카(심100PCS포함)</v>
          </cell>
        </row>
        <row r="104">
          <cell r="B104" t="str">
            <v>daiso57400</v>
          </cell>
          <cell r="C104" t="str">
            <v>38808739574006</v>
          </cell>
          <cell r="D104" t="str">
            <v>57400/펜치100</v>
          </cell>
          <cell r="E104" t="str">
            <v>펜치100</v>
          </cell>
        </row>
        <row r="105">
          <cell r="B105" t="str">
            <v>daiso57401</v>
          </cell>
          <cell r="C105" t="str">
            <v>38808739574013</v>
          </cell>
          <cell r="D105" t="str">
            <v>57401/펜치150</v>
          </cell>
          <cell r="E105" t="str">
            <v>펜치150</v>
          </cell>
        </row>
        <row r="106">
          <cell r="B106" t="str">
            <v>daiso57402</v>
          </cell>
          <cell r="C106" t="str">
            <v>38808739574020</v>
          </cell>
          <cell r="D106" t="str">
            <v>57402/펜치150(손잡이)</v>
          </cell>
          <cell r="E106" t="str">
            <v>펜치150(손잡이)</v>
          </cell>
        </row>
        <row r="107">
          <cell r="B107" t="str">
            <v>daiso60755</v>
          </cell>
          <cell r="C107" t="str">
            <v>38808739607551</v>
          </cell>
          <cell r="D107" t="str">
            <v>60755/펜타입드라이버8P/SET</v>
          </cell>
          <cell r="E107" t="str">
            <v>펜타입드라이버8P/SET</v>
          </cell>
        </row>
        <row r="108">
          <cell r="B108" t="str">
            <v>daiso1024369</v>
          </cell>
          <cell r="C108" t="str">
            <v>38819910243697</v>
          </cell>
          <cell r="D108" t="str">
            <v>1024369/필터샤워기리필3p</v>
          </cell>
          <cell r="E108" t="str">
            <v>필터 샤워기 리필3P</v>
          </cell>
        </row>
        <row r="109">
          <cell r="B109" t="str">
            <v>daiso1024356</v>
          </cell>
          <cell r="C109" t="str">
            <v>38819910243567</v>
          </cell>
          <cell r="D109" t="str">
            <v>1024356/필터정수샤워기</v>
          </cell>
          <cell r="E109" t="str">
            <v>필터정수 샤워기</v>
          </cell>
        </row>
        <row r="110">
          <cell r="B110" t="str">
            <v>daiso25925</v>
          </cell>
          <cell r="C110" t="str">
            <v>38808739259255</v>
          </cell>
          <cell r="D110" t="str">
            <v>25925/핫멜트알(소)8p</v>
          </cell>
          <cell r="E110" t="str">
            <v>핫멜트알</v>
          </cell>
        </row>
        <row r="111">
          <cell r="B111" t="str">
            <v>daiso57490</v>
          </cell>
          <cell r="C111" t="str">
            <v>38808739574907</v>
          </cell>
          <cell r="D111" t="str">
            <v>57490/호스연결구</v>
          </cell>
          <cell r="E111" t="str">
            <v>호스연결구</v>
          </cell>
        </row>
        <row r="112">
          <cell r="B112" t="str">
            <v>daiso14508</v>
          </cell>
          <cell r="C112" t="str">
            <v>38808739145084</v>
          </cell>
          <cell r="D112" t="str">
            <v>14508/홈실리콘마미씰(백색)</v>
          </cell>
          <cell r="E112" t="str">
            <v>홈실리콘마미씰(백색)</v>
          </cell>
        </row>
        <row r="113">
          <cell r="B113" t="str">
            <v>daiso14512</v>
          </cell>
          <cell r="C113" t="str">
            <v>38808739145121</v>
          </cell>
          <cell r="D113" t="str">
            <v>14512/홈실리콘마미씰(투명)</v>
          </cell>
          <cell r="E113" t="str">
            <v>홈실리콘마미씰(투명)</v>
          </cell>
        </row>
        <row r="114">
          <cell r="B114" t="str">
            <v>daiso1038160</v>
          </cell>
          <cell r="C114" t="str">
            <v>38819910381603</v>
          </cell>
          <cell r="D114" t="str">
            <v>1038160/홈실리콘마미씰(회색)</v>
          </cell>
          <cell r="E114" t="str">
            <v>홈실리콘마미씰(회색)</v>
          </cell>
        </row>
        <row r="115">
          <cell r="B115" t="str">
            <v>daiso1034744</v>
          </cell>
          <cell r="C115" t="str">
            <v>38819910347449</v>
          </cell>
          <cell r="D115" t="str">
            <v>1034744/회색 실란트 300ml</v>
          </cell>
          <cell r="E115" t="str">
            <v>회색 실란트 300ml</v>
          </cell>
        </row>
        <row r="116">
          <cell r="B116" t="str">
            <v>daiso60756</v>
          </cell>
          <cell r="C116" t="str">
            <v>38808739607568</v>
          </cell>
          <cell r="D116" t="str">
            <v>60756/케이스정밀드라이버6P/SET</v>
          </cell>
        </row>
        <row r="117">
          <cell r="B117" t="str">
            <v>daiso1019758</v>
          </cell>
          <cell r="C117" t="str">
            <v>38819910197587</v>
          </cell>
          <cell r="D117" t="str">
            <v>1019758/산업용커터칼세트(리필칼날10p)</v>
          </cell>
          <cell r="E117" t="str">
            <v>단종</v>
          </cell>
        </row>
        <row r="118">
          <cell r="B118" t="str">
            <v>daiso1043839</v>
          </cell>
          <cell r="C118" t="str">
            <v>30409910438391</v>
          </cell>
          <cell r="D118" t="str">
            <v>1043839/앵글브러쉬(40mm)</v>
          </cell>
        </row>
        <row r="119">
          <cell r="B119" t="str">
            <v>daiso57488</v>
          </cell>
          <cell r="C119" t="str">
            <v>38808739574884</v>
          </cell>
          <cell r="D119" t="str">
            <v>57488/투명물호스2M</v>
          </cell>
          <cell r="E119" t="str">
            <v>투명물호스(2m)</v>
          </cell>
        </row>
        <row r="120">
          <cell r="B120" t="str">
            <v>daiso57477</v>
          </cell>
          <cell r="C120" t="str">
            <v>38808739574778</v>
          </cell>
          <cell r="D120" t="str">
            <v>57477/투명은사샤워호스2M</v>
          </cell>
          <cell r="E120" t="str">
            <v>투명은사샤워호스(2 m)</v>
          </cell>
        </row>
        <row r="121">
          <cell r="B121" t="str">
            <v>daiso60752</v>
          </cell>
          <cell r="C121" t="str">
            <v>38808739607520</v>
          </cell>
          <cell r="D121" t="str">
            <v>60752/그립양용드라이버(6*100MM)</v>
          </cell>
          <cell r="E121" t="str">
            <v>그립양용드라이버(6*100 mm)</v>
          </cell>
        </row>
        <row r="122">
          <cell r="B122" t="str">
            <v>daiso1043838</v>
          </cell>
          <cell r="C122" t="str">
            <v>30409910438384</v>
          </cell>
          <cell r="D122" t="str">
            <v>1043838/일자브러쉬(40mm)</v>
          </cell>
        </row>
        <row r="123">
          <cell r="B123" t="str">
            <v>daiso1043840</v>
          </cell>
          <cell r="C123" t="str">
            <v>30409910438407</v>
          </cell>
          <cell r="D123" t="str">
            <v>1043840/일자브러쉬(65mm)</v>
          </cell>
        </row>
        <row r="124">
          <cell r="B124" t="str">
            <v>daiso1043841</v>
          </cell>
          <cell r="C124" t="str">
            <v>30409910438414</v>
          </cell>
          <cell r="D124" t="str">
            <v>1043841/앵글브러쉬(65mm)</v>
          </cell>
        </row>
        <row r="125">
          <cell r="B125" t="str">
            <v>daiso57462</v>
          </cell>
          <cell r="C125" t="str">
            <v>38808739574624</v>
          </cell>
          <cell r="D125" t="str">
            <v>57462/크라운샤워헤드(백색)</v>
          </cell>
        </row>
        <row r="126">
          <cell r="B126" t="str">
            <v>daiso57480</v>
          </cell>
          <cell r="C126" t="str">
            <v>38808739574808</v>
          </cell>
          <cell r="D126" t="str">
            <v>57480/투명은사샤워세트1.5M</v>
          </cell>
        </row>
        <row r="127">
          <cell r="B127" t="str">
            <v>daiso1021017</v>
          </cell>
          <cell r="C127" t="str">
            <v>38819910210170</v>
          </cell>
          <cell r="D127" t="str">
            <v>1021017/줄자20M</v>
          </cell>
        </row>
        <row r="128">
          <cell r="B128" t="str">
            <v>daiso1012146</v>
          </cell>
          <cell r="C128" t="str">
            <v>38819910121469</v>
          </cell>
          <cell r="D128" t="str">
            <v>1012146/낫 18CM</v>
          </cell>
          <cell r="E128" t="str">
            <v>낫 (18 cm)</v>
          </cell>
        </row>
        <row r="129">
          <cell r="B129" t="str">
            <v>daiso57486</v>
          </cell>
          <cell r="C129" t="str">
            <v>38808739574860</v>
          </cell>
          <cell r="D129" t="str">
            <v>57486/7기능분사기(일반호스용)</v>
          </cell>
        </row>
        <row r="130">
          <cell r="B130" t="str">
            <v>daiso25920</v>
          </cell>
          <cell r="C130" t="str">
            <v>38808739259200</v>
          </cell>
          <cell r="D130" t="str">
            <v>25920/미니글루건</v>
          </cell>
          <cell r="E130" t="str">
            <v>미니글루건</v>
          </cell>
        </row>
        <row r="131">
          <cell r="B131" t="str">
            <v>daiso1038291</v>
          </cell>
          <cell r="C131" t="str">
            <v>38819910382914</v>
          </cell>
          <cell r="D131" t="str">
            <v>1038291/다용도 청소분사기세트</v>
          </cell>
        </row>
        <row r="132">
          <cell r="B132" t="str">
            <v>daiso60757</v>
          </cell>
          <cell r="C132" t="str">
            <v>38808739607575</v>
          </cell>
          <cell r="D132" t="str">
            <v>60757/육각렌치링10P/SET</v>
          </cell>
        </row>
        <row r="133">
          <cell r="B133" t="str">
            <v>daiso57484</v>
          </cell>
          <cell r="C133" t="str">
            <v>38808739574846</v>
          </cell>
          <cell r="D133" t="str">
            <v>57484/분사기(샤워호스용)</v>
          </cell>
        </row>
        <row r="134">
          <cell r="B134" t="str">
            <v>daiso1041773</v>
          </cell>
          <cell r="C134" t="str">
            <v>38819910417739</v>
          </cell>
          <cell r="D134" t="str">
            <v>1041773/녹제거제(20g)</v>
          </cell>
        </row>
        <row r="135">
          <cell r="B135" t="str">
            <v>daiso57434</v>
          </cell>
          <cell r="C135" t="str">
            <v>28808739574344</v>
          </cell>
          <cell r="D135" t="str">
            <v>57434/뉴트럴TS회색</v>
          </cell>
        </row>
        <row r="136">
          <cell r="B136" t="str">
            <v>daiso57435</v>
          </cell>
          <cell r="C136" t="str">
            <v>28808739574351</v>
          </cell>
          <cell r="D136" t="str">
            <v>57435/뉴트럴TS백색</v>
          </cell>
        </row>
        <row r="137">
          <cell r="B137" t="str">
            <v>daiso57481</v>
          </cell>
          <cell r="C137" t="str">
            <v>28808739574818</v>
          </cell>
          <cell r="D137" t="str">
            <v>57481/투명은사샤워세트2M</v>
          </cell>
        </row>
        <row r="138">
          <cell r="B138" t="str">
            <v>daiso1060704</v>
          </cell>
          <cell r="D138" t="str">
            <v>1060704/필터샤워기리필6p</v>
          </cell>
          <cell r="E138" t="str">
            <v>필터샤워기리필6p</v>
          </cell>
        </row>
        <row r="139">
          <cell r="B139" t="str">
            <v>daiso1069778</v>
          </cell>
          <cell r="D139" t="str">
            <v>1069778/비타민샤워필터(포레스트)</v>
          </cell>
          <cell r="E139" t="str">
            <v>비타민샤워필터(포레스트)</v>
          </cell>
        </row>
        <row r="140">
          <cell r="B140" t="str">
            <v>daiso1069779</v>
          </cell>
          <cell r="D140" t="str">
            <v>1069779/비타민샤워필터(화이트머스크)</v>
          </cell>
          <cell r="E140" t="str">
            <v>비타민샤워필터(화이트머스크)</v>
          </cell>
        </row>
        <row r="141">
          <cell r="B141" t="str">
            <v>daiso1067748</v>
          </cell>
          <cell r="D141" t="str">
            <v>1067748/필터 마사지 샤워헤드</v>
          </cell>
          <cell r="E141" t="str">
            <v>필터 마사지 샤워헤드</v>
          </cell>
        </row>
        <row r="142">
          <cell r="B142" t="str">
            <v>daiso1067752</v>
          </cell>
          <cell r="C142">
            <v>30409910677523</v>
          </cell>
          <cell r="D142" t="str">
            <v>간편휴대 필터샤워헤드</v>
          </cell>
          <cell r="E142" t="str">
            <v>간편휴대 필터샤워헤드</v>
          </cell>
        </row>
        <row r="143">
          <cell r="B143" t="str">
            <v>daiso1067753</v>
          </cell>
          <cell r="C143">
            <v>30409910677530</v>
          </cell>
          <cell r="D143" t="str">
            <v>1067753/여행용 샤워기 리필필터(3개입)</v>
          </cell>
          <cell r="E143" t="str">
            <v>여행용 샤워기 리필필터(3개입)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9"/>
  <sheetViews>
    <sheetView tabSelected="1" workbookViewId="0">
      <selection activeCell="E10" sqref="E10"/>
    </sheetView>
  </sheetViews>
  <sheetFormatPr defaultRowHeight="17.25" x14ac:dyDescent="0.3"/>
  <cols>
    <col min="1" max="1" width="17.5546875" bestFit="1" customWidth="1"/>
    <col min="2" max="2" width="15" style="1" bestFit="1" customWidth="1"/>
    <col min="3" max="3" width="17.6640625" style="1" bestFit="1" customWidth="1"/>
    <col min="4" max="4" width="16.77734375" style="1" bestFit="1" customWidth="1"/>
    <col min="5" max="5" width="30.33203125" customWidth="1"/>
    <col min="6" max="6" width="6.88671875" bestFit="1" customWidth="1"/>
    <col min="7" max="7" width="19.44140625" bestFit="1" customWidth="1"/>
    <col min="8" max="8" width="14.33203125" bestFit="1" customWidth="1"/>
    <col min="9" max="9" width="41.109375" customWidth="1"/>
    <col min="10" max="10" width="6.5546875" bestFit="1" customWidth="1"/>
    <col min="11" max="11" width="12.44140625" bestFit="1" customWidth="1"/>
    <col min="12" max="12" width="9.77734375" bestFit="1" customWidth="1"/>
    <col min="13" max="13" width="10.44140625" bestFit="1" customWidth="1"/>
    <col min="14" max="14" width="16.109375" bestFit="1" customWidth="1"/>
    <col min="15" max="15" width="15.109375" bestFit="1" customWidth="1"/>
    <col min="16" max="16" width="13.109375" bestFit="1" customWidth="1"/>
    <col min="17" max="17" width="17.5546875" bestFit="1" customWidth="1"/>
    <col min="18" max="18" width="15.5546875" bestFit="1" customWidth="1"/>
    <col min="19" max="19" width="6.21875" bestFit="1" customWidth="1"/>
    <col min="20" max="20" width="9.77734375" bestFit="1" customWidth="1"/>
  </cols>
  <sheetData>
    <row r="1" spans="1:20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24</v>
      </c>
      <c r="B2" s="1" t="s">
        <v>504</v>
      </c>
      <c r="C2" s="1" t="s">
        <v>505</v>
      </c>
      <c r="D2" s="1" t="s">
        <v>506</v>
      </c>
      <c r="E2" t="s">
        <v>25</v>
      </c>
      <c r="F2" t="s">
        <v>20</v>
      </c>
      <c r="G2" t="s">
        <v>26</v>
      </c>
      <c r="H2">
        <v>1012146</v>
      </c>
      <c r="I2" t="str">
        <f>VLOOKUP(A:A,[1]기본데이터!$B:$E,4,0)</f>
        <v>낫 (18 cm)</v>
      </c>
      <c r="J2" t="s">
        <v>27</v>
      </c>
      <c r="K2" t="s">
        <v>28</v>
      </c>
      <c r="L2" t="s">
        <v>21</v>
      </c>
      <c r="M2" t="s">
        <v>29</v>
      </c>
      <c r="Q2" t="s">
        <v>22</v>
      </c>
      <c r="R2" t="s">
        <v>30</v>
      </c>
      <c r="S2" t="s">
        <v>23</v>
      </c>
      <c r="T2" t="s">
        <v>31</v>
      </c>
    </row>
    <row r="3" spans="1:20" x14ac:dyDescent="0.3">
      <c r="A3" t="s">
        <v>32</v>
      </c>
      <c r="D3" s="1" t="s">
        <v>507</v>
      </c>
      <c r="E3" t="s">
        <v>33</v>
      </c>
      <c r="F3" t="s">
        <v>34</v>
      </c>
      <c r="G3" t="s">
        <v>26</v>
      </c>
      <c r="J3" t="s">
        <v>35</v>
      </c>
      <c r="L3" t="s">
        <v>21</v>
      </c>
      <c r="M3" t="s">
        <v>29</v>
      </c>
      <c r="Q3" t="s">
        <v>22</v>
      </c>
      <c r="R3" t="s">
        <v>30</v>
      </c>
      <c r="S3" t="s">
        <v>23</v>
      </c>
      <c r="T3" t="s">
        <v>36</v>
      </c>
    </row>
    <row r="4" spans="1:20" x14ac:dyDescent="0.3">
      <c r="A4" t="s">
        <v>37</v>
      </c>
      <c r="B4" s="1" t="s">
        <v>508</v>
      </c>
      <c r="C4" s="1" t="s">
        <v>509</v>
      </c>
      <c r="D4" s="1" t="s">
        <v>510</v>
      </c>
      <c r="E4" t="s">
        <v>38</v>
      </c>
      <c r="F4" t="s">
        <v>20</v>
      </c>
      <c r="G4" t="s">
        <v>26</v>
      </c>
      <c r="H4">
        <v>1015892</v>
      </c>
      <c r="I4" t="str">
        <f>VLOOKUP(A:A,[1]기본데이터!$B:$E,4,0)</f>
        <v>칼+날2P</v>
      </c>
      <c r="J4" t="s">
        <v>39</v>
      </c>
      <c r="K4" t="s">
        <v>40</v>
      </c>
      <c r="L4" t="s">
        <v>21</v>
      </c>
      <c r="M4" t="s">
        <v>29</v>
      </c>
      <c r="Q4" t="s">
        <v>22</v>
      </c>
      <c r="R4" t="s">
        <v>30</v>
      </c>
      <c r="S4" t="s">
        <v>23</v>
      </c>
      <c r="T4" t="s">
        <v>36</v>
      </c>
    </row>
    <row r="5" spans="1:20" x14ac:dyDescent="0.3">
      <c r="A5" t="s">
        <v>41</v>
      </c>
      <c r="B5" s="1" t="s">
        <v>511</v>
      </c>
      <c r="C5" s="1" t="s">
        <v>512</v>
      </c>
      <c r="D5" s="1" t="s">
        <v>513</v>
      </c>
      <c r="E5" t="s">
        <v>42</v>
      </c>
      <c r="F5" t="s">
        <v>20</v>
      </c>
      <c r="G5" t="s">
        <v>26</v>
      </c>
      <c r="H5">
        <v>1019757</v>
      </c>
      <c r="I5" t="str">
        <f>VLOOKUP(A:A,[1]기본데이터!$B:$E,4,0)</f>
        <v>양용타격드라이버</v>
      </c>
      <c r="K5" t="s">
        <v>43</v>
      </c>
      <c r="L5" t="s">
        <v>21</v>
      </c>
      <c r="M5" t="s">
        <v>29</v>
      </c>
      <c r="Q5" t="s">
        <v>22</v>
      </c>
      <c r="R5" t="s">
        <v>30</v>
      </c>
      <c r="S5" t="s">
        <v>23</v>
      </c>
      <c r="T5" t="s">
        <v>36</v>
      </c>
    </row>
    <row r="6" spans="1:20" x14ac:dyDescent="0.3">
      <c r="A6" t="s">
        <v>44</v>
      </c>
      <c r="D6" s="1" t="s">
        <v>514</v>
      </c>
      <c r="E6" t="s">
        <v>45</v>
      </c>
      <c r="F6" t="s">
        <v>34</v>
      </c>
      <c r="G6" t="s">
        <v>26</v>
      </c>
      <c r="H6">
        <v>1019758</v>
      </c>
      <c r="I6" t="str">
        <f>VLOOKUP(A:A,[1]기본데이터!$B:$E,4,0)</f>
        <v>단종</v>
      </c>
      <c r="J6" t="s">
        <v>46</v>
      </c>
      <c r="K6" t="s">
        <v>40</v>
      </c>
      <c r="L6" t="s">
        <v>21</v>
      </c>
      <c r="M6" t="s">
        <v>29</v>
      </c>
      <c r="Q6" t="s">
        <v>22</v>
      </c>
      <c r="R6" t="s">
        <v>30</v>
      </c>
      <c r="S6" t="s">
        <v>23</v>
      </c>
      <c r="T6" t="s">
        <v>36</v>
      </c>
    </row>
    <row r="7" spans="1:20" x14ac:dyDescent="0.3">
      <c r="A7" t="s">
        <v>47</v>
      </c>
      <c r="B7" s="1" t="s">
        <v>515</v>
      </c>
      <c r="C7" s="1" t="s">
        <v>516</v>
      </c>
      <c r="D7" s="1" t="s">
        <v>517</v>
      </c>
      <c r="E7" t="s">
        <v>48</v>
      </c>
      <c r="F7" t="s">
        <v>20</v>
      </c>
      <c r="G7" t="s">
        <v>26</v>
      </c>
      <c r="H7">
        <v>1019759</v>
      </c>
      <c r="I7" t="str">
        <f>VLOOKUP(A:A,[1]기본데이터!$B:$E,4,0)</f>
        <v>메탈 샤워호스 (4 m)</v>
      </c>
      <c r="J7" t="s">
        <v>49</v>
      </c>
      <c r="K7" t="s">
        <v>28</v>
      </c>
      <c r="L7" t="s">
        <v>21</v>
      </c>
      <c r="M7" t="s">
        <v>29</v>
      </c>
      <c r="Q7" t="s">
        <v>22</v>
      </c>
      <c r="R7" t="s">
        <v>30</v>
      </c>
      <c r="S7" t="s">
        <v>23</v>
      </c>
      <c r="T7" t="s">
        <v>50</v>
      </c>
    </row>
    <row r="8" spans="1:20" x14ac:dyDescent="0.3">
      <c r="A8" t="s">
        <v>51</v>
      </c>
      <c r="D8" s="1" t="s">
        <v>518</v>
      </c>
      <c r="E8" t="s">
        <v>52</v>
      </c>
      <c r="F8" t="s">
        <v>34</v>
      </c>
      <c r="G8" t="s">
        <v>26</v>
      </c>
      <c r="H8">
        <v>1021017</v>
      </c>
      <c r="J8" t="s">
        <v>53</v>
      </c>
      <c r="K8" t="s">
        <v>40</v>
      </c>
      <c r="L8" t="s">
        <v>21</v>
      </c>
      <c r="M8" t="s">
        <v>29</v>
      </c>
      <c r="Q8" t="s">
        <v>22</v>
      </c>
      <c r="R8" t="s">
        <v>30</v>
      </c>
      <c r="S8" t="s">
        <v>23</v>
      </c>
      <c r="T8" t="s">
        <v>36</v>
      </c>
    </row>
    <row r="9" spans="1:20" x14ac:dyDescent="0.3">
      <c r="A9" t="s">
        <v>54</v>
      </c>
      <c r="B9" s="1" t="s">
        <v>519</v>
      </c>
      <c r="C9" s="1" t="s">
        <v>520</v>
      </c>
      <c r="D9" s="1" t="s">
        <v>521</v>
      </c>
      <c r="E9" t="s">
        <v>55</v>
      </c>
      <c r="F9" t="s">
        <v>20</v>
      </c>
      <c r="G9" t="s">
        <v>26</v>
      </c>
      <c r="H9">
        <v>1024356</v>
      </c>
      <c r="I9" t="str">
        <f>VLOOKUP(A:A,[1]기본데이터!$B:$E,4,0)</f>
        <v>필터정수 샤워기</v>
      </c>
      <c r="J9" t="s">
        <v>56</v>
      </c>
      <c r="K9" t="s">
        <v>57</v>
      </c>
      <c r="L9" t="s">
        <v>21</v>
      </c>
      <c r="M9" t="s">
        <v>29</v>
      </c>
      <c r="Q9" t="s">
        <v>22</v>
      </c>
      <c r="R9" t="s">
        <v>30</v>
      </c>
      <c r="S9" t="s">
        <v>23</v>
      </c>
      <c r="T9" t="s">
        <v>58</v>
      </c>
    </row>
    <row r="10" spans="1:20" x14ac:dyDescent="0.3">
      <c r="A10" t="s">
        <v>59</v>
      </c>
      <c r="B10" s="1" t="s">
        <v>522</v>
      </c>
      <c r="C10" s="1" t="s">
        <v>523</v>
      </c>
      <c r="D10" s="1" t="s">
        <v>524</v>
      </c>
      <c r="E10" t="s">
        <v>60</v>
      </c>
      <c r="F10" t="s">
        <v>20</v>
      </c>
      <c r="G10" t="s">
        <v>26</v>
      </c>
      <c r="H10">
        <v>1024367</v>
      </c>
      <c r="I10" t="str">
        <f>VLOOKUP(A:A,[1]기본데이터!$B:$E,4,0)</f>
        <v>2단계 필터샤워기</v>
      </c>
      <c r="J10" t="s">
        <v>61</v>
      </c>
      <c r="K10" t="s">
        <v>62</v>
      </c>
      <c r="L10" t="s">
        <v>21</v>
      </c>
      <c r="M10" t="s">
        <v>29</v>
      </c>
      <c r="Q10" t="s">
        <v>22</v>
      </c>
      <c r="R10" t="s">
        <v>30</v>
      </c>
      <c r="S10" t="s">
        <v>23</v>
      </c>
      <c r="T10" t="s">
        <v>58</v>
      </c>
    </row>
    <row r="11" spans="1:20" x14ac:dyDescent="0.3">
      <c r="A11" t="s">
        <v>63</v>
      </c>
      <c r="B11" s="1" t="s">
        <v>525</v>
      </c>
      <c r="C11" s="1" t="s">
        <v>526</v>
      </c>
      <c r="D11" s="1" t="s">
        <v>527</v>
      </c>
      <c r="E11" t="s">
        <v>64</v>
      </c>
      <c r="F11" t="s">
        <v>20</v>
      </c>
      <c r="G11" t="s">
        <v>26</v>
      </c>
      <c r="H11">
        <v>1024369</v>
      </c>
      <c r="I11" t="str">
        <f>VLOOKUP(A:A,[1]기본데이터!$B:$E,4,0)</f>
        <v>필터 샤워기 리필3P</v>
      </c>
      <c r="J11" t="s">
        <v>65</v>
      </c>
      <c r="K11" t="s">
        <v>66</v>
      </c>
      <c r="Q11" t="s">
        <v>22</v>
      </c>
      <c r="R11" t="s">
        <v>30</v>
      </c>
      <c r="S11" t="s">
        <v>23</v>
      </c>
      <c r="T11" t="s">
        <v>67</v>
      </c>
    </row>
    <row r="12" spans="1:20" x14ac:dyDescent="0.3">
      <c r="A12" t="s">
        <v>68</v>
      </c>
      <c r="E12" t="s">
        <v>69</v>
      </c>
      <c r="F12" t="s">
        <v>70</v>
      </c>
      <c r="G12" t="s">
        <v>26</v>
      </c>
      <c r="K12" t="s">
        <v>66</v>
      </c>
      <c r="Q12" t="s">
        <v>22</v>
      </c>
      <c r="R12" t="s">
        <v>30</v>
      </c>
      <c r="S12" t="s">
        <v>71</v>
      </c>
      <c r="T12" t="s">
        <v>67</v>
      </c>
    </row>
    <row r="13" spans="1:20" x14ac:dyDescent="0.3">
      <c r="A13" t="s">
        <v>72</v>
      </c>
      <c r="B13" s="1" t="s">
        <v>528</v>
      </c>
      <c r="C13" s="1" t="s">
        <v>529</v>
      </c>
      <c r="D13" s="1" t="s">
        <v>530</v>
      </c>
      <c r="E13" t="s">
        <v>73</v>
      </c>
      <c r="F13" t="s">
        <v>20</v>
      </c>
      <c r="G13" t="s">
        <v>26</v>
      </c>
      <c r="H13">
        <v>1026718</v>
      </c>
      <c r="I13" t="str">
        <f>VLOOKUP(A:A,[1]기본데이터!$B:$E,4,0)</f>
        <v>비타민 샤워필터(레몬)</v>
      </c>
      <c r="J13" t="s">
        <v>74</v>
      </c>
      <c r="K13" t="s">
        <v>75</v>
      </c>
      <c r="L13" t="s">
        <v>76</v>
      </c>
      <c r="M13" t="s">
        <v>77</v>
      </c>
      <c r="N13" t="s">
        <v>78</v>
      </c>
      <c r="Q13" t="s">
        <v>22</v>
      </c>
      <c r="R13" t="s">
        <v>30</v>
      </c>
      <c r="S13" t="s">
        <v>23</v>
      </c>
      <c r="T13" t="s">
        <v>58</v>
      </c>
    </row>
    <row r="14" spans="1:20" x14ac:dyDescent="0.3">
      <c r="A14" t="s">
        <v>79</v>
      </c>
      <c r="B14" s="1" t="s">
        <v>531</v>
      </c>
      <c r="C14" s="1" t="s">
        <v>532</v>
      </c>
      <c r="D14" s="1" t="s">
        <v>533</v>
      </c>
      <c r="E14" t="s">
        <v>80</v>
      </c>
      <c r="F14" t="s">
        <v>20</v>
      </c>
      <c r="G14" t="s">
        <v>26</v>
      </c>
      <c r="H14">
        <v>1026727</v>
      </c>
      <c r="I14" t="str">
        <f>VLOOKUP(A:A,[1]기본데이터!$B:$E,4,0)</f>
        <v>비타민 샤워필터(체리블라썸)</v>
      </c>
      <c r="J14" t="s">
        <v>74</v>
      </c>
      <c r="K14" t="s">
        <v>75</v>
      </c>
      <c r="L14" t="s">
        <v>76</v>
      </c>
      <c r="M14" t="s">
        <v>77</v>
      </c>
      <c r="N14" t="s">
        <v>78</v>
      </c>
      <c r="Q14" t="s">
        <v>22</v>
      </c>
      <c r="R14" t="s">
        <v>30</v>
      </c>
      <c r="S14" t="s">
        <v>23</v>
      </c>
      <c r="T14" t="s">
        <v>58</v>
      </c>
    </row>
    <row r="15" spans="1:20" x14ac:dyDescent="0.3">
      <c r="A15" t="s">
        <v>81</v>
      </c>
      <c r="B15" s="1" t="s">
        <v>534</v>
      </c>
      <c r="C15" s="1" t="s">
        <v>535</v>
      </c>
      <c r="D15" s="1" t="s">
        <v>536</v>
      </c>
      <c r="E15" t="s">
        <v>82</v>
      </c>
      <c r="F15" t="s">
        <v>20</v>
      </c>
      <c r="G15" t="s">
        <v>26</v>
      </c>
      <c r="H15">
        <v>1026728</v>
      </c>
      <c r="I15" t="str">
        <f>VLOOKUP(A:A,[1]기본데이터!$B:$E,4,0)</f>
        <v>비타민 샤워필터(라벤다)</v>
      </c>
      <c r="J15" t="s">
        <v>74</v>
      </c>
      <c r="K15" t="s">
        <v>75</v>
      </c>
      <c r="L15" t="s">
        <v>76</v>
      </c>
      <c r="M15" t="s">
        <v>77</v>
      </c>
      <c r="N15" t="s">
        <v>78</v>
      </c>
      <c r="Q15" t="s">
        <v>22</v>
      </c>
      <c r="R15" t="s">
        <v>30</v>
      </c>
      <c r="S15" t="s">
        <v>23</v>
      </c>
      <c r="T15" t="s">
        <v>58</v>
      </c>
    </row>
    <row r="16" spans="1:20" x14ac:dyDescent="0.3">
      <c r="A16" t="s">
        <v>83</v>
      </c>
      <c r="B16" s="1" t="s">
        <v>537</v>
      </c>
      <c r="C16" s="1" t="s">
        <v>538</v>
      </c>
      <c r="D16" s="1" t="s">
        <v>539</v>
      </c>
      <c r="E16" t="s">
        <v>84</v>
      </c>
      <c r="F16" t="s">
        <v>20</v>
      </c>
      <c r="G16" t="s">
        <v>26</v>
      </c>
      <c r="H16">
        <v>1029132</v>
      </c>
      <c r="I16" t="str">
        <f>VLOOKUP(A:A,[1]기본데이터!$B:$E,4,0)</f>
        <v>싱크대용 필터헤드(핸디형)</v>
      </c>
      <c r="J16" t="s">
        <v>85</v>
      </c>
      <c r="K16" t="s">
        <v>57</v>
      </c>
      <c r="L16" t="s">
        <v>21</v>
      </c>
      <c r="M16" t="s">
        <v>29</v>
      </c>
      <c r="Q16" t="s">
        <v>22</v>
      </c>
      <c r="R16" t="s">
        <v>30</v>
      </c>
      <c r="S16" t="s">
        <v>23</v>
      </c>
      <c r="T16" t="s">
        <v>50</v>
      </c>
    </row>
    <row r="17" spans="1:20" x14ac:dyDescent="0.3">
      <c r="A17" t="s">
        <v>86</v>
      </c>
      <c r="B17" s="1" t="s">
        <v>540</v>
      </c>
      <c r="C17" s="1" t="s">
        <v>541</v>
      </c>
      <c r="D17" s="1" t="s">
        <v>542</v>
      </c>
      <c r="E17" t="s">
        <v>87</v>
      </c>
      <c r="F17" t="s">
        <v>20</v>
      </c>
      <c r="G17" t="s">
        <v>26</v>
      </c>
      <c r="H17">
        <v>1029133</v>
      </c>
      <c r="I17" t="str">
        <f>VLOOKUP(A:A,[1]기본데이터!$B:$E,4,0)</f>
        <v>싱크대용리필필터(4개입)</v>
      </c>
      <c r="J17" t="s">
        <v>88</v>
      </c>
      <c r="K17" t="s">
        <v>28</v>
      </c>
      <c r="L17" t="s">
        <v>21</v>
      </c>
      <c r="M17" t="s">
        <v>29</v>
      </c>
      <c r="Q17" t="s">
        <v>22</v>
      </c>
      <c r="R17" t="s">
        <v>30</v>
      </c>
      <c r="S17" t="s">
        <v>23</v>
      </c>
      <c r="T17" t="s">
        <v>67</v>
      </c>
    </row>
    <row r="18" spans="1:20" x14ac:dyDescent="0.3">
      <c r="A18" t="s">
        <v>89</v>
      </c>
      <c r="E18" t="s">
        <v>90</v>
      </c>
      <c r="F18" t="s">
        <v>70</v>
      </c>
      <c r="G18" t="s">
        <v>26</v>
      </c>
      <c r="J18" t="s">
        <v>88</v>
      </c>
      <c r="K18" t="s">
        <v>28</v>
      </c>
      <c r="L18" t="s">
        <v>21</v>
      </c>
      <c r="M18" t="s">
        <v>29</v>
      </c>
      <c r="Q18" t="s">
        <v>22</v>
      </c>
      <c r="R18" t="s">
        <v>30</v>
      </c>
      <c r="S18" t="s">
        <v>23</v>
      </c>
      <c r="T18" t="s">
        <v>67</v>
      </c>
    </row>
    <row r="19" spans="1:20" x14ac:dyDescent="0.3">
      <c r="A19" t="s">
        <v>91</v>
      </c>
      <c r="B19" s="1" t="s">
        <v>543</v>
      </c>
      <c r="C19" s="1" t="s">
        <v>544</v>
      </c>
      <c r="D19" s="1" t="s">
        <v>545</v>
      </c>
      <c r="E19" t="s">
        <v>92</v>
      </c>
      <c r="F19" t="s">
        <v>20</v>
      </c>
      <c r="G19" t="s">
        <v>26</v>
      </c>
      <c r="H19">
        <v>1029134</v>
      </c>
      <c r="I19" t="str">
        <f>VLOOKUP(A:A,[1]기본데이터!$B:$E,4,0)</f>
        <v>녹물차단 필터</v>
      </c>
      <c r="J19" t="s">
        <v>93</v>
      </c>
      <c r="K19" t="s">
        <v>75</v>
      </c>
      <c r="L19" t="s">
        <v>76</v>
      </c>
      <c r="M19" t="s">
        <v>77</v>
      </c>
      <c r="N19" t="s">
        <v>78</v>
      </c>
      <c r="Q19" t="s">
        <v>22</v>
      </c>
      <c r="R19" t="s">
        <v>30</v>
      </c>
      <c r="S19" t="s">
        <v>23</v>
      </c>
      <c r="T19" t="s">
        <v>58</v>
      </c>
    </row>
    <row r="20" spans="1:20" x14ac:dyDescent="0.3">
      <c r="A20" t="s">
        <v>94</v>
      </c>
      <c r="D20" s="1" t="s">
        <v>507</v>
      </c>
      <c r="E20" t="s">
        <v>95</v>
      </c>
      <c r="F20" t="s">
        <v>34</v>
      </c>
      <c r="G20" t="s">
        <v>26</v>
      </c>
      <c r="J20" t="s">
        <v>96</v>
      </c>
      <c r="K20" t="s">
        <v>97</v>
      </c>
      <c r="L20" t="s">
        <v>21</v>
      </c>
      <c r="M20" t="s">
        <v>29</v>
      </c>
      <c r="Q20" t="s">
        <v>22</v>
      </c>
      <c r="R20" t="s">
        <v>30</v>
      </c>
      <c r="S20" t="s">
        <v>23</v>
      </c>
      <c r="T20" t="s">
        <v>36</v>
      </c>
    </row>
    <row r="21" spans="1:20" x14ac:dyDescent="0.3">
      <c r="A21" t="s">
        <v>98</v>
      </c>
      <c r="B21" s="1" t="s">
        <v>546</v>
      </c>
      <c r="C21" s="1" t="s">
        <v>547</v>
      </c>
      <c r="D21" s="1" t="s">
        <v>548</v>
      </c>
      <c r="E21" t="s">
        <v>99</v>
      </c>
      <c r="F21" t="s">
        <v>20</v>
      </c>
      <c r="G21" t="s">
        <v>26</v>
      </c>
      <c r="H21">
        <v>10341</v>
      </c>
      <c r="I21" t="str">
        <f>VLOOKUP(A:A,[1]기본데이터!$B:$E,4,0)</f>
        <v>FIX순간접착제(젤형)</v>
      </c>
      <c r="J21" t="s">
        <v>100</v>
      </c>
      <c r="K21" t="s">
        <v>101</v>
      </c>
      <c r="L21" t="s">
        <v>76</v>
      </c>
      <c r="M21" t="s">
        <v>77</v>
      </c>
      <c r="N21" t="s">
        <v>78</v>
      </c>
      <c r="Q21" t="s">
        <v>22</v>
      </c>
      <c r="R21" t="s">
        <v>30</v>
      </c>
      <c r="S21" t="s">
        <v>23</v>
      </c>
      <c r="T21" t="s">
        <v>102</v>
      </c>
    </row>
    <row r="22" spans="1:20" x14ac:dyDescent="0.3">
      <c r="A22" t="s">
        <v>103</v>
      </c>
      <c r="B22" s="1" t="s">
        <v>546</v>
      </c>
      <c r="C22" s="1" t="s">
        <v>549</v>
      </c>
      <c r="D22" s="1" t="s">
        <v>550</v>
      </c>
      <c r="E22" t="s">
        <v>104</v>
      </c>
      <c r="F22" t="s">
        <v>20</v>
      </c>
      <c r="G22" t="s">
        <v>26</v>
      </c>
      <c r="H22">
        <v>10342</v>
      </c>
      <c r="I22" t="str">
        <f>VLOOKUP(A:A,[1]기본데이터!$B:$E,4,0)</f>
        <v>FIX순간접착제(펜형)</v>
      </c>
      <c r="J22" t="s">
        <v>105</v>
      </c>
      <c r="K22" t="s">
        <v>106</v>
      </c>
      <c r="Q22" t="s">
        <v>22</v>
      </c>
      <c r="R22" t="s">
        <v>30</v>
      </c>
      <c r="S22" t="s">
        <v>23</v>
      </c>
      <c r="T22" t="s">
        <v>102</v>
      </c>
    </row>
    <row r="23" spans="1:20" x14ac:dyDescent="0.3">
      <c r="A23" t="s">
        <v>107</v>
      </c>
      <c r="B23" s="1" t="s">
        <v>551</v>
      </c>
      <c r="C23" s="1" t="s">
        <v>552</v>
      </c>
      <c r="D23" s="1" t="s">
        <v>553</v>
      </c>
      <c r="E23" t="s">
        <v>108</v>
      </c>
      <c r="F23" t="s">
        <v>20</v>
      </c>
      <c r="G23" t="s">
        <v>26</v>
      </c>
      <c r="H23">
        <v>1034744</v>
      </c>
      <c r="I23" t="str">
        <f>VLOOKUP(A:A,[1]기본데이터!$B:$E,4,0)</f>
        <v>회색 실란트 300ml</v>
      </c>
      <c r="K23" t="s">
        <v>109</v>
      </c>
      <c r="L23" t="s">
        <v>76</v>
      </c>
      <c r="M23" t="s">
        <v>77</v>
      </c>
      <c r="N23" t="s">
        <v>78</v>
      </c>
      <c r="Q23" t="s">
        <v>22</v>
      </c>
      <c r="R23" t="s">
        <v>30</v>
      </c>
      <c r="S23" t="s">
        <v>23</v>
      </c>
      <c r="T23" t="s">
        <v>102</v>
      </c>
    </row>
    <row r="24" spans="1:20" x14ac:dyDescent="0.3">
      <c r="A24" t="s">
        <v>110</v>
      </c>
      <c r="B24" s="1" t="s">
        <v>554</v>
      </c>
      <c r="C24" s="1" t="s">
        <v>555</v>
      </c>
      <c r="D24" s="1" t="s">
        <v>556</v>
      </c>
      <c r="E24" t="s">
        <v>111</v>
      </c>
      <c r="F24" t="s">
        <v>20</v>
      </c>
      <c r="G24" t="s">
        <v>26</v>
      </c>
      <c r="H24">
        <v>1034749</v>
      </c>
      <c r="I24" t="str">
        <f>VLOOKUP(A:A,[1]기본데이터!$B:$E,4,0)</f>
        <v>백색 실란트 300ml</v>
      </c>
      <c r="K24" t="s">
        <v>109</v>
      </c>
      <c r="L24" t="s">
        <v>76</v>
      </c>
      <c r="M24" t="s">
        <v>77</v>
      </c>
      <c r="N24" t="s">
        <v>78</v>
      </c>
      <c r="Q24" t="s">
        <v>22</v>
      </c>
      <c r="R24" t="s">
        <v>30</v>
      </c>
      <c r="S24" t="s">
        <v>23</v>
      </c>
      <c r="T24" t="s">
        <v>102</v>
      </c>
    </row>
    <row r="25" spans="1:20" x14ac:dyDescent="0.3">
      <c r="A25" t="s">
        <v>112</v>
      </c>
      <c r="B25" s="1" t="s">
        <v>557</v>
      </c>
      <c r="C25" s="1" t="s">
        <v>558</v>
      </c>
      <c r="D25" s="1" t="s">
        <v>559</v>
      </c>
      <c r="E25" t="s">
        <v>113</v>
      </c>
      <c r="F25" t="s">
        <v>20</v>
      </c>
      <c r="G25" t="s">
        <v>26</v>
      </c>
      <c r="H25">
        <v>1034750</v>
      </c>
      <c r="I25" t="str">
        <f>VLOOKUP(A:A,[1]기본데이터!$B:$E,4,0)</f>
        <v>투명 실란트 300ml</v>
      </c>
      <c r="K25" t="s">
        <v>109</v>
      </c>
      <c r="L25" t="s">
        <v>76</v>
      </c>
      <c r="M25" t="s">
        <v>77</v>
      </c>
      <c r="N25" t="s">
        <v>78</v>
      </c>
      <c r="Q25" t="s">
        <v>22</v>
      </c>
      <c r="R25" t="s">
        <v>30</v>
      </c>
      <c r="S25" t="s">
        <v>23</v>
      </c>
      <c r="T25" t="s">
        <v>102</v>
      </c>
    </row>
    <row r="26" spans="1:20" x14ac:dyDescent="0.3">
      <c r="A26" t="s">
        <v>114</v>
      </c>
      <c r="B26" s="1" t="s">
        <v>560</v>
      </c>
      <c r="C26" s="1" t="s">
        <v>561</v>
      </c>
      <c r="D26" s="1" t="s">
        <v>562</v>
      </c>
      <c r="E26" t="s">
        <v>115</v>
      </c>
      <c r="F26" t="s">
        <v>20</v>
      </c>
      <c r="G26" t="s">
        <v>26</v>
      </c>
      <c r="H26">
        <v>1036955</v>
      </c>
      <c r="I26" t="str">
        <f>VLOOKUP(A:A,[1]기본데이터!$B:$E,4,0)</f>
        <v>숏샤워기헤드</v>
      </c>
      <c r="J26" t="s">
        <v>116</v>
      </c>
      <c r="K26" t="s">
        <v>62</v>
      </c>
      <c r="L26" t="s">
        <v>21</v>
      </c>
      <c r="M26" t="s">
        <v>29</v>
      </c>
      <c r="Q26" t="s">
        <v>22</v>
      </c>
      <c r="R26" t="s">
        <v>30</v>
      </c>
      <c r="S26" t="s">
        <v>23</v>
      </c>
      <c r="T26" t="s">
        <v>58</v>
      </c>
    </row>
    <row r="27" spans="1:20" x14ac:dyDescent="0.3">
      <c r="A27" t="s">
        <v>117</v>
      </c>
      <c r="B27" s="1" t="s">
        <v>563</v>
      </c>
      <c r="C27" s="1" t="s">
        <v>564</v>
      </c>
      <c r="D27" s="1" t="s">
        <v>565</v>
      </c>
      <c r="E27" t="s">
        <v>118</v>
      </c>
      <c r="F27" t="s">
        <v>20</v>
      </c>
      <c r="G27" t="s">
        <v>26</v>
      </c>
      <c r="H27">
        <v>1038018</v>
      </c>
      <c r="I27" t="str">
        <f>VLOOKUP(A:A,[1]기본데이터!$B:$E,4,0)</f>
        <v>세면대필터세트(리필2개입)</v>
      </c>
      <c r="J27" t="s">
        <v>119</v>
      </c>
      <c r="K27" t="s">
        <v>57</v>
      </c>
      <c r="L27" t="s">
        <v>21</v>
      </c>
      <c r="M27" t="s">
        <v>29</v>
      </c>
      <c r="Q27" t="s">
        <v>22</v>
      </c>
      <c r="R27" t="s">
        <v>30</v>
      </c>
      <c r="S27" t="s">
        <v>23</v>
      </c>
      <c r="T27" t="s">
        <v>50</v>
      </c>
    </row>
    <row r="28" spans="1:20" x14ac:dyDescent="0.3">
      <c r="A28" t="s">
        <v>120</v>
      </c>
      <c r="B28" s="1" t="s">
        <v>566</v>
      </c>
      <c r="C28" s="1" t="s">
        <v>567</v>
      </c>
      <c r="D28" s="1" t="s">
        <v>568</v>
      </c>
      <c r="E28" t="s">
        <v>121</v>
      </c>
      <c r="F28" t="s">
        <v>20</v>
      </c>
      <c r="G28" t="s">
        <v>26</v>
      </c>
      <c r="H28">
        <v>1038019</v>
      </c>
      <c r="I28" t="str">
        <f>VLOOKUP(A:A,[1]기본데이터!$B:$E,4,0)</f>
        <v>세면대필터리필(4개입)</v>
      </c>
      <c r="J28" t="s">
        <v>122</v>
      </c>
      <c r="K28" t="s">
        <v>66</v>
      </c>
      <c r="Q28" t="s">
        <v>22</v>
      </c>
      <c r="R28" t="s">
        <v>30</v>
      </c>
      <c r="S28" t="s">
        <v>23</v>
      </c>
      <c r="T28" t="s">
        <v>58</v>
      </c>
    </row>
    <row r="29" spans="1:20" x14ac:dyDescent="0.3">
      <c r="A29" t="s">
        <v>123</v>
      </c>
      <c r="B29" s="1" t="s">
        <v>569</v>
      </c>
      <c r="C29" s="1" t="s">
        <v>570</v>
      </c>
      <c r="D29" s="1" t="s">
        <v>571</v>
      </c>
      <c r="E29" t="s">
        <v>124</v>
      </c>
      <c r="F29" t="s">
        <v>20</v>
      </c>
      <c r="G29" t="s">
        <v>26</v>
      </c>
      <c r="H29">
        <v>1038160</v>
      </c>
      <c r="I29" t="str">
        <f>VLOOKUP(A:A,[1]기본데이터!$B:$E,4,0)</f>
        <v>홈실리콘마미씰(회색)</v>
      </c>
      <c r="J29" t="s">
        <v>125</v>
      </c>
      <c r="K29" t="s">
        <v>109</v>
      </c>
      <c r="L29" t="s">
        <v>76</v>
      </c>
      <c r="M29" t="s">
        <v>77</v>
      </c>
      <c r="N29" t="s">
        <v>78</v>
      </c>
      <c r="Q29" t="s">
        <v>22</v>
      </c>
      <c r="R29" t="s">
        <v>30</v>
      </c>
      <c r="S29" t="s">
        <v>23</v>
      </c>
      <c r="T29" t="s">
        <v>102</v>
      </c>
    </row>
    <row r="30" spans="1:20" x14ac:dyDescent="0.3">
      <c r="A30" t="s">
        <v>126</v>
      </c>
      <c r="B30" s="1" t="s">
        <v>572</v>
      </c>
      <c r="C30" s="1" t="s">
        <v>573</v>
      </c>
      <c r="D30" s="1" t="s">
        <v>574</v>
      </c>
      <c r="E30" t="s">
        <v>127</v>
      </c>
      <c r="F30" t="s">
        <v>838</v>
      </c>
      <c r="G30" t="s">
        <v>26</v>
      </c>
      <c r="H30">
        <v>1038291</v>
      </c>
      <c r="K30" t="s">
        <v>28</v>
      </c>
      <c r="L30" t="s">
        <v>21</v>
      </c>
      <c r="M30" t="s">
        <v>29</v>
      </c>
      <c r="Q30" t="s">
        <v>22</v>
      </c>
      <c r="R30" t="s">
        <v>30</v>
      </c>
      <c r="S30" t="s">
        <v>23</v>
      </c>
      <c r="T30" t="s">
        <v>50</v>
      </c>
    </row>
    <row r="31" spans="1:20" x14ac:dyDescent="0.3">
      <c r="A31" t="s">
        <v>128</v>
      </c>
      <c r="B31" s="1" t="s">
        <v>575</v>
      </c>
      <c r="C31" s="1" t="s">
        <v>576</v>
      </c>
      <c r="D31" s="1" t="s">
        <v>577</v>
      </c>
      <c r="E31" t="s">
        <v>129</v>
      </c>
      <c r="F31" t="s">
        <v>20</v>
      </c>
      <c r="G31" t="s">
        <v>26</v>
      </c>
      <c r="H31">
        <v>1038730</v>
      </c>
      <c r="I31" t="str">
        <f>VLOOKUP(A:A,[1]기본데이터!$B:$E,4,0)</f>
        <v>오토락줄자(25 mm*7.5 m)</v>
      </c>
      <c r="J31" t="s">
        <v>130</v>
      </c>
      <c r="K31" t="s">
        <v>131</v>
      </c>
      <c r="L31" t="s">
        <v>21</v>
      </c>
      <c r="M31" t="s">
        <v>29</v>
      </c>
      <c r="Q31" t="s">
        <v>22</v>
      </c>
      <c r="R31" t="s">
        <v>30</v>
      </c>
      <c r="S31" t="s">
        <v>23</v>
      </c>
      <c r="T31" t="s">
        <v>36</v>
      </c>
    </row>
    <row r="32" spans="1:20" x14ac:dyDescent="0.3">
      <c r="A32" t="s">
        <v>132</v>
      </c>
      <c r="B32" s="1" t="s">
        <v>578</v>
      </c>
      <c r="C32" s="1" t="s">
        <v>579</v>
      </c>
      <c r="D32" s="1" t="s">
        <v>580</v>
      </c>
      <c r="E32" t="s">
        <v>133</v>
      </c>
      <c r="F32" t="s">
        <v>20</v>
      </c>
      <c r="G32" t="s">
        <v>26</v>
      </c>
      <c r="H32">
        <v>1038731</v>
      </c>
      <c r="I32" t="str">
        <f>VLOOKUP(A:A,[1]기본데이터!$B:$E,4,0)</f>
        <v>열쇠고리줄자(6 mm*2 m)</v>
      </c>
      <c r="J32" t="s">
        <v>134</v>
      </c>
      <c r="K32" t="s">
        <v>131</v>
      </c>
      <c r="L32" t="s">
        <v>21</v>
      </c>
      <c r="M32" t="s">
        <v>29</v>
      </c>
      <c r="Q32" t="s">
        <v>22</v>
      </c>
      <c r="R32" t="s">
        <v>30</v>
      </c>
      <c r="S32" t="s">
        <v>23</v>
      </c>
      <c r="T32" t="s">
        <v>36</v>
      </c>
    </row>
    <row r="33" spans="1:20" x14ac:dyDescent="0.3">
      <c r="A33" t="s">
        <v>135</v>
      </c>
      <c r="D33" s="1" t="s">
        <v>581</v>
      </c>
      <c r="E33" t="s">
        <v>136</v>
      </c>
      <c r="F33" t="s">
        <v>34</v>
      </c>
      <c r="G33" t="s">
        <v>26</v>
      </c>
      <c r="H33">
        <v>1041773</v>
      </c>
      <c r="K33" t="s">
        <v>101</v>
      </c>
      <c r="L33" t="s">
        <v>76</v>
      </c>
      <c r="M33" t="s">
        <v>77</v>
      </c>
      <c r="N33" t="s">
        <v>78</v>
      </c>
      <c r="Q33" t="s">
        <v>22</v>
      </c>
      <c r="R33" t="s">
        <v>30</v>
      </c>
      <c r="S33" t="s">
        <v>23</v>
      </c>
      <c r="T33" t="s">
        <v>137</v>
      </c>
    </row>
    <row r="34" spans="1:20" x14ac:dyDescent="0.3">
      <c r="A34" t="s">
        <v>138</v>
      </c>
      <c r="B34" s="1" t="s">
        <v>582</v>
      </c>
      <c r="C34" s="1" t="s">
        <v>583</v>
      </c>
      <c r="D34" s="1" t="s">
        <v>584</v>
      </c>
      <c r="E34" t="s">
        <v>139</v>
      </c>
      <c r="F34" t="s">
        <v>20</v>
      </c>
      <c r="G34" t="s">
        <v>26</v>
      </c>
      <c r="H34">
        <v>1043287</v>
      </c>
      <c r="I34" t="str">
        <f>VLOOKUP(A:A,[1]기본데이터!$B:$E,4,0)</f>
        <v>솔릭스픽스(목재용)</v>
      </c>
      <c r="J34" t="s">
        <v>140</v>
      </c>
      <c r="K34" t="s">
        <v>101</v>
      </c>
      <c r="L34" t="s">
        <v>76</v>
      </c>
      <c r="M34" t="s">
        <v>77</v>
      </c>
      <c r="N34" t="s">
        <v>78</v>
      </c>
      <c r="Q34" t="s">
        <v>22</v>
      </c>
      <c r="R34" t="s">
        <v>30</v>
      </c>
      <c r="S34" t="s">
        <v>23</v>
      </c>
      <c r="T34" t="s">
        <v>102</v>
      </c>
    </row>
    <row r="35" spans="1:20" x14ac:dyDescent="0.3">
      <c r="A35" t="s">
        <v>141</v>
      </c>
      <c r="D35" s="1" t="s">
        <v>585</v>
      </c>
      <c r="E35" t="s">
        <v>142</v>
      </c>
      <c r="F35" t="s">
        <v>34</v>
      </c>
      <c r="G35" t="s">
        <v>26</v>
      </c>
      <c r="H35">
        <v>1043838</v>
      </c>
      <c r="J35" t="s">
        <v>143</v>
      </c>
      <c r="K35" t="s">
        <v>144</v>
      </c>
      <c r="L35" t="s">
        <v>21</v>
      </c>
      <c r="M35" t="s">
        <v>29</v>
      </c>
      <c r="Q35" t="s">
        <v>22</v>
      </c>
      <c r="R35" t="s">
        <v>30</v>
      </c>
      <c r="S35" t="s">
        <v>23</v>
      </c>
      <c r="T35" t="s">
        <v>145</v>
      </c>
    </row>
    <row r="36" spans="1:20" x14ac:dyDescent="0.3">
      <c r="A36" t="s">
        <v>146</v>
      </c>
      <c r="D36" s="1" t="s">
        <v>586</v>
      </c>
      <c r="E36" t="s">
        <v>147</v>
      </c>
      <c r="F36" t="s">
        <v>34</v>
      </c>
      <c r="G36" t="s">
        <v>26</v>
      </c>
      <c r="H36">
        <v>1043839</v>
      </c>
      <c r="J36" t="s">
        <v>143</v>
      </c>
      <c r="K36" t="s">
        <v>144</v>
      </c>
      <c r="L36" t="s">
        <v>21</v>
      </c>
      <c r="M36" t="s">
        <v>29</v>
      </c>
      <c r="Q36" t="s">
        <v>22</v>
      </c>
      <c r="R36" t="s">
        <v>30</v>
      </c>
      <c r="S36" t="s">
        <v>23</v>
      </c>
      <c r="T36" t="s">
        <v>145</v>
      </c>
    </row>
    <row r="37" spans="1:20" x14ac:dyDescent="0.3">
      <c r="A37" t="s">
        <v>148</v>
      </c>
      <c r="D37" s="1" t="s">
        <v>587</v>
      </c>
      <c r="E37" t="s">
        <v>149</v>
      </c>
      <c r="F37" t="s">
        <v>34</v>
      </c>
      <c r="G37" t="s">
        <v>26</v>
      </c>
      <c r="H37">
        <v>1043840</v>
      </c>
      <c r="J37" t="s">
        <v>150</v>
      </c>
      <c r="K37" t="s">
        <v>144</v>
      </c>
      <c r="L37" t="s">
        <v>21</v>
      </c>
      <c r="M37" t="s">
        <v>29</v>
      </c>
      <c r="Q37" t="s">
        <v>22</v>
      </c>
      <c r="R37" t="s">
        <v>30</v>
      </c>
      <c r="S37" t="s">
        <v>23</v>
      </c>
      <c r="T37" t="s">
        <v>145</v>
      </c>
    </row>
    <row r="38" spans="1:20" x14ac:dyDescent="0.3">
      <c r="A38" t="s">
        <v>151</v>
      </c>
      <c r="D38" s="1" t="s">
        <v>588</v>
      </c>
      <c r="E38" t="s">
        <v>152</v>
      </c>
      <c r="F38" t="s">
        <v>34</v>
      </c>
      <c r="G38" t="s">
        <v>26</v>
      </c>
      <c r="H38">
        <v>1043841</v>
      </c>
      <c r="J38" t="s">
        <v>143</v>
      </c>
      <c r="K38" t="s">
        <v>144</v>
      </c>
      <c r="L38" t="s">
        <v>21</v>
      </c>
      <c r="M38" t="s">
        <v>29</v>
      </c>
      <c r="Q38" t="s">
        <v>22</v>
      </c>
      <c r="R38" t="s">
        <v>30</v>
      </c>
      <c r="S38" t="s">
        <v>23</v>
      </c>
      <c r="T38" t="s">
        <v>145</v>
      </c>
    </row>
    <row r="39" spans="1:20" x14ac:dyDescent="0.3">
      <c r="A39" t="s">
        <v>153</v>
      </c>
      <c r="B39" s="1" t="s">
        <v>589</v>
      </c>
      <c r="C39" s="1" t="s">
        <v>590</v>
      </c>
      <c r="D39" s="1" t="s">
        <v>591</v>
      </c>
      <c r="E39" t="s">
        <v>154</v>
      </c>
      <c r="F39" t="s">
        <v>20</v>
      </c>
      <c r="G39" t="s">
        <v>26</v>
      </c>
      <c r="H39">
        <v>1044098</v>
      </c>
      <c r="I39" t="str">
        <f>VLOOKUP(A:A,[1]기본데이터!$B:$E,4,0)</f>
        <v>자바라 가스터보라이터</v>
      </c>
      <c r="K39" t="s">
        <v>155</v>
      </c>
      <c r="L39" t="s">
        <v>21</v>
      </c>
      <c r="M39" t="s">
        <v>29</v>
      </c>
      <c r="Q39" t="s">
        <v>22</v>
      </c>
      <c r="R39" t="s">
        <v>30</v>
      </c>
      <c r="S39" t="s">
        <v>23</v>
      </c>
      <c r="T39" t="s">
        <v>36</v>
      </c>
    </row>
    <row r="40" spans="1:20" x14ac:dyDescent="0.3">
      <c r="A40" t="s">
        <v>156</v>
      </c>
      <c r="B40" s="1" t="s">
        <v>592</v>
      </c>
      <c r="C40" s="1" t="s">
        <v>593</v>
      </c>
      <c r="D40" s="1" t="s">
        <v>594</v>
      </c>
      <c r="E40" t="s">
        <v>157</v>
      </c>
      <c r="F40" t="s">
        <v>20</v>
      </c>
      <c r="G40" t="s">
        <v>26</v>
      </c>
      <c r="H40">
        <v>1045580</v>
      </c>
      <c r="I40" t="str">
        <f>VLOOKUP(A:A,[1]기본데이터!$B:$E,4,0)</f>
        <v>미니톱(당김방식)</v>
      </c>
      <c r="J40" t="s">
        <v>158</v>
      </c>
      <c r="K40" t="s">
        <v>159</v>
      </c>
      <c r="L40" t="s">
        <v>21</v>
      </c>
      <c r="M40" t="s">
        <v>29</v>
      </c>
      <c r="Q40" t="s">
        <v>22</v>
      </c>
      <c r="R40" t="s">
        <v>30</v>
      </c>
      <c r="S40" t="s">
        <v>23</v>
      </c>
      <c r="T40" t="s">
        <v>36</v>
      </c>
    </row>
    <row r="41" spans="1:20" x14ac:dyDescent="0.3">
      <c r="A41" t="s">
        <v>160</v>
      </c>
      <c r="B41" s="1" t="s">
        <v>595</v>
      </c>
      <c r="C41" s="1" t="s">
        <v>596</v>
      </c>
      <c r="D41" s="1" t="s">
        <v>597</v>
      </c>
      <c r="E41" t="s">
        <v>161</v>
      </c>
      <c r="F41" t="s">
        <v>20</v>
      </c>
      <c r="G41" t="s">
        <v>26</v>
      </c>
      <c r="H41">
        <v>1045582</v>
      </c>
      <c r="I41" t="str">
        <f>VLOOKUP(A:A,[1]기본데이터!$B:$E,4,0)</f>
        <v>미니톱날(4개입)</v>
      </c>
      <c r="J41" t="s">
        <v>162</v>
      </c>
      <c r="K41" t="s">
        <v>159</v>
      </c>
      <c r="L41" t="s">
        <v>21</v>
      </c>
      <c r="M41" t="s">
        <v>29</v>
      </c>
      <c r="Q41" t="s">
        <v>22</v>
      </c>
      <c r="R41" t="s">
        <v>30</v>
      </c>
      <c r="S41" t="s">
        <v>23</v>
      </c>
      <c r="T41" t="s">
        <v>36</v>
      </c>
    </row>
    <row r="42" spans="1:20" x14ac:dyDescent="0.3">
      <c r="A42" t="s">
        <v>163</v>
      </c>
      <c r="D42" s="1" t="s">
        <v>598</v>
      </c>
      <c r="E42" t="s">
        <v>164</v>
      </c>
      <c r="F42" t="s">
        <v>34</v>
      </c>
      <c r="G42" t="s">
        <v>26</v>
      </c>
      <c r="H42">
        <v>1045586</v>
      </c>
      <c r="I42" t="str">
        <f>VLOOKUP(A:A,[1]기본데이터!$B:$E,4,0)</f>
        <v>길이조절 라쳇 멀티드라이버(PH2)</v>
      </c>
      <c r="J42" t="s">
        <v>165</v>
      </c>
      <c r="K42" t="s">
        <v>43</v>
      </c>
      <c r="L42" t="s">
        <v>21</v>
      </c>
      <c r="M42" t="s">
        <v>29</v>
      </c>
      <c r="Q42" t="s">
        <v>22</v>
      </c>
      <c r="R42" t="s">
        <v>30</v>
      </c>
      <c r="S42" t="s">
        <v>23</v>
      </c>
      <c r="T42" t="s">
        <v>36</v>
      </c>
    </row>
    <row r="43" spans="1:20" x14ac:dyDescent="0.3">
      <c r="A43" t="s">
        <v>166</v>
      </c>
      <c r="B43" s="1" t="s">
        <v>599</v>
      </c>
      <c r="C43" s="1" t="s">
        <v>600</v>
      </c>
      <c r="D43" s="1" t="s">
        <v>601</v>
      </c>
      <c r="E43" t="s">
        <v>167</v>
      </c>
      <c r="F43" t="s">
        <v>20</v>
      </c>
      <c r="G43" t="s">
        <v>26</v>
      </c>
      <c r="H43">
        <v>1045587</v>
      </c>
      <c r="I43" t="str">
        <f>VLOOKUP(A:A,[1]기본데이터!$B:$E,4,0)</f>
        <v>미니 토치라이터</v>
      </c>
      <c r="K43" t="s">
        <v>155</v>
      </c>
      <c r="L43" t="s">
        <v>21</v>
      </c>
      <c r="M43" t="s">
        <v>29</v>
      </c>
      <c r="Q43" t="s">
        <v>22</v>
      </c>
      <c r="R43" t="s">
        <v>30</v>
      </c>
      <c r="S43" t="s">
        <v>23</v>
      </c>
      <c r="T43" t="s">
        <v>36</v>
      </c>
    </row>
    <row r="44" spans="1:20" x14ac:dyDescent="0.3">
      <c r="A44" t="s">
        <v>168</v>
      </c>
      <c r="B44" s="1" t="s">
        <v>602</v>
      </c>
      <c r="C44" s="1" t="s">
        <v>603</v>
      </c>
      <c r="D44" s="1" t="s">
        <v>604</v>
      </c>
      <c r="E44" t="s">
        <v>169</v>
      </c>
      <c r="F44" t="s">
        <v>20</v>
      </c>
      <c r="G44" t="s">
        <v>26</v>
      </c>
      <c r="H44">
        <v>1046897</v>
      </c>
      <c r="I44" t="str">
        <f>VLOOKUP(A:A,[1]기본데이터!$B:$E,4,0)</f>
        <v>모던샤워기세트(1.5 m)</v>
      </c>
      <c r="K44" t="s">
        <v>170</v>
      </c>
      <c r="L44" t="s">
        <v>21</v>
      </c>
      <c r="M44" t="s">
        <v>29</v>
      </c>
      <c r="Q44" t="s">
        <v>22</v>
      </c>
      <c r="R44" t="s">
        <v>30</v>
      </c>
      <c r="S44" t="s">
        <v>23</v>
      </c>
      <c r="T44" t="s">
        <v>50</v>
      </c>
    </row>
    <row r="45" spans="1:20" x14ac:dyDescent="0.3">
      <c r="A45" t="s">
        <v>171</v>
      </c>
      <c r="B45" s="1" t="s">
        <v>605</v>
      </c>
      <c r="C45" s="1" t="s">
        <v>606</v>
      </c>
      <c r="D45" s="1" t="s">
        <v>607</v>
      </c>
      <c r="E45" t="s">
        <v>172</v>
      </c>
      <c r="F45" t="s">
        <v>20</v>
      </c>
      <c r="G45" t="s">
        <v>26</v>
      </c>
      <c r="H45">
        <v>1050223</v>
      </c>
      <c r="I45" t="str">
        <f>VLOOKUP(A:A,[1]기본데이터!$B:$E,4,0)</f>
        <v>아크릴실란트백색(300ml)</v>
      </c>
      <c r="K45" t="s">
        <v>109</v>
      </c>
      <c r="L45" t="s">
        <v>76</v>
      </c>
      <c r="M45" t="s">
        <v>77</v>
      </c>
      <c r="N45" t="s">
        <v>78</v>
      </c>
      <c r="Q45" t="s">
        <v>22</v>
      </c>
      <c r="R45" t="s">
        <v>30</v>
      </c>
      <c r="S45" t="s">
        <v>23</v>
      </c>
      <c r="T45" t="s">
        <v>102</v>
      </c>
    </row>
    <row r="46" spans="1:20" x14ac:dyDescent="0.3">
      <c r="A46" t="s">
        <v>173</v>
      </c>
      <c r="B46" s="1" t="s">
        <v>608</v>
      </c>
      <c r="C46" s="1" t="s">
        <v>609</v>
      </c>
      <c r="D46" s="1" t="s">
        <v>610</v>
      </c>
      <c r="E46" t="s">
        <v>174</v>
      </c>
      <c r="F46" t="s">
        <v>20</v>
      </c>
      <c r="G46" t="s">
        <v>26</v>
      </c>
      <c r="H46">
        <v>1050224</v>
      </c>
      <c r="I46" t="str">
        <f>VLOOKUP(A:A,[1]기본데이터!$B:$E,4,0)</f>
        <v>아크릴실란트회색(300ml)</v>
      </c>
      <c r="K46" t="s">
        <v>109</v>
      </c>
      <c r="L46" t="s">
        <v>76</v>
      </c>
      <c r="M46" t="s">
        <v>77</v>
      </c>
      <c r="N46" t="s">
        <v>78</v>
      </c>
      <c r="Q46" t="s">
        <v>22</v>
      </c>
      <c r="R46" t="s">
        <v>30</v>
      </c>
      <c r="S46" t="s">
        <v>23</v>
      </c>
      <c r="T46" t="s">
        <v>102</v>
      </c>
    </row>
    <row r="47" spans="1:20" x14ac:dyDescent="0.3">
      <c r="A47" t="s">
        <v>175</v>
      </c>
      <c r="D47" s="1" t="s">
        <v>507</v>
      </c>
      <c r="E47" t="s">
        <v>176</v>
      </c>
      <c r="F47" t="s">
        <v>34</v>
      </c>
      <c r="G47" t="s">
        <v>26</v>
      </c>
      <c r="I47" t="str">
        <f>VLOOKUP(A:A,[1]기본데이터!$B:$E,4,0)</f>
        <v>필터샤워기리필6p</v>
      </c>
      <c r="J47" t="s">
        <v>177</v>
      </c>
      <c r="K47" t="s">
        <v>66</v>
      </c>
      <c r="Q47" t="s">
        <v>22</v>
      </c>
      <c r="R47" t="s">
        <v>30</v>
      </c>
      <c r="S47" t="s">
        <v>23</v>
      </c>
      <c r="T47" t="s">
        <v>67</v>
      </c>
    </row>
    <row r="48" spans="1:20" x14ac:dyDescent="0.3">
      <c r="A48" t="s">
        <v>178</v>
      </c>
      <c r="B48" s="1" t="s">
        <v>611</v>
      </c>
      <c r="C48" s="1" t="s">
        <v>612</v>
      </c>
      <c r="D48" s="1" t="s">
        <v>613</v>
      </c>
      <c r="E48" t="s">
        <v>179</v>
      </c>
      <c r="F48" t="s">
        <v>20</v>
      </c>
      <c r="G48" t="s">
        <v>26</v>
      </c>
      <c r="H48">
        <v>1067748</v>
      </c>
      <c r="I48" t="str">
        <f>VLOOKUP(A:A,[1]기본데이터!$B:$E,4,0)</f>
        <v>필터 마사지 샤워헤드</v>
      </c>
      <c r="L48" t="s">
        <v>21</v>
      </c>
      <c r="M48" t="s">
        <v>29</v>
      </c>
      <c r="Q48" t="s">
        <v>22</v>
      </c>
      <c r="R48" t="s">
        <v>30</v>
      </c>
      <c r="S48" t="s">
        <v>23</v>
      </c>
      <c r="T48" t="s">
        <v>50</v>
      </c>
    </row>
    <row r="49" spans="1:20" x14ac:dyDescent="0.3">
      <c r="A49" t="s">
        <v>180</v>
      </c>
      <c r="B49" s="1" t="s">
        <v>614</v>
      </c>
      <c r="C49" s="1" t="s">
        <v>615</v>
      </c>
      <c r="D49" s="1" t="s">
        <v>616</v>
      </c>
      <c r="E49" t="s">
        <v>181</v>
      </c>
      <c r="F49" t="s">
        <v>20</v>
      </c>
      <c r="G49" t="s">
        <v>26</v>
      </c>
      <c r="H49">
        <v>1067752</v>
      </c>
      <c r="I49" t="str">
        <f>VLOOKUP(A:A,[1]기본데이터!$B:$E,4,0)</f>
        <v>간편휴대 필터샤워헤드</v>
      </c>
      <c r="L49" t="s">
        <v>21</v>
      </c>
      <c r="M49" t="s">
        <v>29</v>
      </c>
      <c r="Q49" t="s">
        <v>22</v>
      </c>
      <c r="R49" t="s">
        <v>30</v>
      </c>
      <c r="S49" t="s">
        <v>23</v>
      </c>
      <c r="T49" t="s">
        <v>50</v>
      </c>
    </row>
    <row r="50" spans="1:20" x14ac:dyDescent="0.3">
      <c r="A50" t="s">
        <v>182</v>
      </c>
      <c r="B50" s="1" t="s">
        <v>617</v>
      </c>
      <c r="C50" s="1" t="s">
        <v>618</v>
      </c>
      <c r="D50" s="1" t="s">
        <v>619</v>
      </c>
      <c r="E50" t="s">
        <v>183</v>
      </c>
      <c r="F50" t="s">
        <v>20</v>
      </c>
      <c r="G50" t="s">
        <v>26</v>
      </c>
      <c r="H50">
        <v>1067753</v>
      </c>
      <c r="I50" t="str">
        <f>VLOOKUP(A:A,[1]기본데이터!$B:$E,4,0)</f>
        <v>여행용 샤워기 리필필터(3개입)</v>
      </c>
      <c r="L50" t="s">
        <v>21</v>
      </c>
      <c r="M50" t="s">
        <v>29</v>
      </c>
      <c r="Q50" t="s">
        <v>22</v>
      </c>
      <c r="R50" t="s">
        <v>30</v>
      </c>
      <c r="S50" t="s">
        <v>23</v>
      </c>
      <c r="T50" t="s">
        <v>50</v>
      </c>
    </row>
    <row r="51" spans="1:20" x14ac:dyDescent="0.3">
      <c r="A51" t="s">
        <v>184</v>
      </c>
      <c r="E51" t="s">
        <v>185</v>
      </c>
      <c r="F51" t="s">
        <v>70</v>
      </c>
      <c r="G51" t="s">
        <v>26</v>
      </c>
      <c r="Q51" t="s">
        <v>22</v>
      </c>
      <c r="R51" t="s">
        <v>30</v>
      </c>
      <c r="S51" t="s">
        <v>71</v>
      </c>
      <c r="T51" t="s">
        <v>50</v>
      </c>
    </row>
    <row r="52" spans="1:20" x14ac:dyDescent="0.3">
      <c r="A52" t="s">
        <v>186</v>
      </c>
      <c r="B52" s="1" t="s">
        <v>620</v>
      </c>
      <c r="C52" s="1" t="s">
        <v>621</v>
      </c>
      <c r="D52" s="1" t="s">
        <v>622</v>
      </c>
      <c r="E52" t="s">
        <v>187</v>
      </c>
      <c r="F52" t="s">
        <v>20</v>
      </c>
      <c r="G52" t="s">
        <v>26</v>
      </c>
      <c r="H52">
        <v>1069778</v>
      </c>
      <c r="I52" t="str">
        <f>VLOOKUP(A:A,[1]기본데이터!$B:$E,4,0)</f>
        <v>비타민샤워필터(포레스트)</v>
      </c>
      <c r="K52" t="s">
        <v>75</v>
      </c>
      <c r="L52" t="s">
        <v>76</v>
      </c>
      <c r="M52" t="s">
        <v>77</v>
      </c>
      <c r="N52" t="s">
        <v>78</v>
      </c>
      <c r="Q52" t="s">
        <v>22</v>
      </c>
      <c r="R52" t="s">
        <v>30</v>
      </c>
      <c r="S52" t="s">
        <v>23</v>
      </c>
      <c r="T52" t="s">
        <v>58</v>
      </c>
    </row>
    <row r="53" spans="1:20" x14ac:dyDescent="0.3">
      <c r="A53" t="s">
        <v>188</v>
      </c>
      <c r="B53" s="1" t="s">
        <v>623</v>
      </c>
      <c r="C53" s="1" t="s">
        <v>624</v>
      </c>
      <c r="D53" s="1" t="s">
        <v>625</v>
      </c>
      <c r="E53" t="s">
        <v>189</v>
      </c>
      <c r="F53" t="s">
        <v>20</v>
      </c>
      <c r="G53" t="s">
        <v>26</v>
      </c>
      <c r="H53">
        <v>1069779</v>
      </c>
      <c r="I53" t="str">
        <f>VLOOKUP(A:A,[1]기본데이터!$B:$E,4,0)</f>
        <v>비타민샤워필터(화이트머스크)</v>
      </c>
      <c r="K53" t="s">
        <v>75</v>
      </c>
      <c r="L53" t="s">
        <v>76</v>
      </c>
      <c r="M53" t="s">
        <v>77</v>
      </c>
      <c r="N53" t="s">
        <v>78</v>
      </c>
      <c r="Q53" t="s">
        <v>22</v>
      </c>
      <c r="R53" t="s">
        <v>30</v>
      </c>
      <c r="S53" t="s">
        <v>23</v>
      </c>
      <c r="T53" t="s">
        <v>58</v>
      </c>
    </row>
    <row r="54" spans="1:20" x14ac:dyDescent="0.3">
      <c r="A54" t="s">
        <v>190</v>
      </c>
      <c r="B54" s="1" t="s">
        <v>546</v>
      </c>
      <c r="C54" s="1" t="s">
        <v>626</v>
      </c>
      <c r="D54" s="1" t="s">
        <v>627</v>
      </c>
      <c r="E54" t="s">
        <v>191</v>
      </c>
      <c r="F54" t="s">
        <v>20</v>
      </c>
      <c r="G54" t="s">
        <v>26</v>
      </c>
      <c r="H54">
        <v>11857</v>
      </c>
      <c r="I54" t="str">
        <f>VLOOKUP(A:A,[1]기본데이터!$B:$E,4,0)</f>
        <v>목공(종이)접착제</v>
      </c>
      <c r="J54" t="s">
        <v>192</v>
      </c>
      <c r="K54" t="s">
        <v>101</v>
      </c>
      <c r="L54" t="s">
        <v>76</v>
      </c>
      <c r="M54" t="s">
        <v>77</v>
      </c>
      <c r="N54" t="s">
        <v>78</v>
      </c>
      <c r="Q54" t="s">
        <v>22</v>
      </c>
      <c r="R54" t="s">
        <v>30</v>
      </c>
      <c r="S54" t="s">
        <v>23</v>
      </c>
      <c r="T54" t="s">
        <v>102</v>
      </c>
    </row>
    <row r="55" spans="1:20" x14ac:dyDescent="0.3">
      <c r="A55" t="s">
        <v>193</v>
      </c>
      <c r="B55" s="1" t="s">
        <v>628</v>
      </c>
      <c r="C55" s="1" t="s">
        <v>629</v>
      </c>
      <c r="D55" s="1" t="s">
        <v>630</v>
      </c>
      <c r="E55" t="s">
        <v>194</v>
      </c>
      <c r="F55" t="s">
        <v>20</v>
      </c>
      <c r="G55" t="s">
        <v>26</v>
      </c>
      <c r="H55">
        <v>14508</v>
      </c>
      <c r="I55" t="str">
        <f>VLOOKUP(A:A,[1]기본데이터!$B:$E,4,0)</f>
        <v>홈실리콘마미씰(백색)</v>
      </c>
      <c r="J55" t="s">
        <v>195</v>
      </c>
      <c r="K55" t="s">
        <v>109</v>
      </c>
      <c r="L55" t="s">
        <v>76</v>
      </c>
      <c r="M55" t="s">
        <v>77</v>
      </c>
      <c r="N55" t="s">
        <v>78</v>
      </c>
      <c r="Q55" t="s">
        <v>22</v>
      </c>
      <c r="R55" t="s">
        <v>30</v>
      </c>
      <c r="S55" t="s">
        <v>23</v>
      </c>
      <c r="T55" t="s">
        <v>102</v>
      </c>
    </row>
    <row r="56" spans="1:20" x14ac:dyDescent="0.3">
      <c r="A56" t="s">
        <v>196</v>
      </c>
      <c r="B56" s="1" t="s">
        <v>628</v>
      </c>
      <c r="C56" s="1" t="s">
        <v>631</v>
      </c>
      <c r="D56" s="1" t="s">
        <v>632</v>
      </c>
      <c r="E56" t="s">
        <v>197</v>
      </c>
      <c r="F56" t="s">
        <v>20</v>
      </c>
      <c r="G56" t="s">
        <v>26</v>
      </c>
      <c r="H56">
        <v>14509</v>
      </c>
      <c r="I56" t="str">
        <f>VLOOKUP(A:A,[1]기본데이터!$B:$E,4,0)</f>
        <v>솔릭스픽스(금속용)</v>
      </c>
      <c r="J56" t="s">
        <v>198</v>
      </c>
      <c r="K56" t="s">
        <v>101</v>
      </c>
      <c r="L56" t="s">
        <v>76</v>
      </c>
      <c r="M56" t="s">
        <v>77</v>
      </c>
      <c r="N56" t="s">
        <v>78</v>
      </c>
      <c r="Q56" t="s">
        <v>22</v>
      </c>
      <c r="R56" t="s">
        <v>30</v>
      </c>
      <c r="S56" t="s">
        <v>23</v>
      </c>
      <c r="T56" t="s">
        <v>102</v>
      </c>
    </row>
    <row r="57" spans="1:20" x14ac:dyDescent="0.3">
      <c r="A57" t="s">
        <v>199</v>
      </c>
      <c r="D57" s="1" t="s">
        <v>633</v>
      </c>
      <c r="E57" t="s">
        <v>200</v>
      </c>
      <c r="F57" t="s">
        <v>34</v>
      </c>
      <c r="G57" t="s">
        <v>26</v>
      </c>
      <c r="H57">
        <v>14510</v>
      </c>
      <c r="J57" t="s">
        <v>201</v>
      </c>
      <c r="K57" t="s">
        <v>202</v>
      </c>
      <c r="Q57" t="s">
        <v>22</v>
      </c>
      <c r="R57" t="s">
        <v>30</v>
      </c>
      <c r="S57" t="s">
        <v>23</v>
      </c>
      <c r="T57" t="s">
        <v>102</v>
      </c>
    </row>
    <row r="58" spans="1:20" x14ac:dyDescent="0.3">
      <c r="A58" t="s">
        <v>203</v>
      </c>
      <c r="D58" s="1" t="s">
        <v>634</v>
      </c>
      <c r="E58" t="s">
        <v>204</v>
      </c>
      <c r="F58" t="s">
        <v>34</v>
      </c>
      <c r="G58" t="s">
        <v>26</v>
      </c>
      <c r="H58">
        <v>14511</v>
      </c>
      <c r="J58" t="s">
        <v>205</v>
      </c>
      <c r="K58" t="s">
        <v>202</v>
      </c>
      <c r="Q58" t="s">
        <v>22</v>
      </c>
      <c r="R58" t="s">
        <v>30</v>
      </c>
      <c r="S58" t="s">
        <v>23</v>
      </c>
      <c r="T58" t="s">
        <v>102</v>
      </c>
    </row>
    <row r="59" spans="1:20" x14ac:dyDescent="0.3">
      <c r="A59" t="s">
        <v>206</v>
      </c>
      <c r="B59" s="1" t="s">
        <v>628</v>
      </c>
      <c r="C59" s="1" t="s">
        <v>635</v>
      </c>
      <c r="D59" s="1" t="s">
        <v>636</v>
      </c>
      <c r="E59" t="s">
        <v>207</v>
      </c>
      <c r="F59" t="s">
        <v>20</v>
      </c>
      <c r="G59" t="s">
        <v>26</v>
      </c>
      <c r="H59">
        <v>14512</v>
      </c>
      <c r="I59" t="str">
        <f>VLOOKUP(A:A,[1]기본데이터!$B:$E,4,0)</f>
        <v>홈실리콘마미씰(투명)</v>
      </c>
      <c r="J59" t="s">
        <v>208</v>
      </c>
      <c r="K59" t="s">
        <v>109</v>
      </c>
      <c r="L59" t="s">
        <v>76</v>
      </c>
      <c r="M59" t="s">
        <v>77</v>
      </c>
      <c r="N59" t="s">
        <v>78</v>
      </c>
      <c r="Q59" t="s">
        <v>22</v>
      </c>
      <c r="R59" t="s">
        <v>30</v>
      </c>
      <c r="S59" t="s">
        <v>23</v>
      </c>
      <c r="T59" t="s">
        <v>102</v>
      </c>
    </row>
    <row r="60" spans="1:20" x14ac:dyDescent="0.3">
      <c r="A60" t="s">
        <v>209</v>
      </c>
      <c r="B60" s="1" t="s">
        <v>637</v>
      </c>
      <c r="C60" s="1" t="s">
        <v>638</v>
      </c>
      <c r="D60" s="1" t="s">
        <v>639</v>
      </c>
      <c r="E60" t="s">
        <v>210</v>
      </c>
      <c r="F60" t="s">
        <v>20</v>
      </c>
      <c r="G60" t="s">
        <v>26</v>
      </c>
      <c r="H60">
        <v>25920</v>
      </c>
      <c r="I60" t="str">
        <f>VLOOKUP(A:A,[1]기본데이터!$B:$E,4,0)</f>
        <v>미니글루건</v>
      </c>
      <c r="J60" t="s">
        <v>211</v>
      </c>
      <c r="K60" t="s">
        <v>212</v>
      </c>
      <c r="L60" t="s">
        <v>21</v>
      </c>
      <c r="M60" t="s">
        <v>29</v>
      </c>
      <c r="Q60" t="s">
        <v>22</v>
      </c>
      <c r="R60" t="s">
        <v>30</v>
      </c>
      <c r="S60" t="s">
        <v>23</v>
      </c>
      <c r="T60" t="s">
        <v>36</v>
      </c>
    </row>
    <row r="61" spans="1:20" x14ac:dyDescent="0.3">
      <c r="A61" t="s">
        <v>213</v>
      </c>
      <c r="B61" s="1" t="s">
        <v>546</v>
      </c>
      <c r="C61" s="1" t="s">
        <v>640</v>
      </c>
      <c r="D61" s="1" t="s">
        <v>641</v>
      </c>
      <c r="E61" t="s">
        <v>214</v>
      </c>
      <c r="F61" t="s">
        <v>20</v>
      </c>
      <c r="G61" t="s">
        <v>26</v>
      </c>
      <c r="H61">
        <v>25925</v>
      </c>
      <c r="I61" t="str">
        <f>VLOOKUP(A:A,[1]기본데이터!$B:$E,4,0)</f>
        <v>핫멜트알</v>
      </c>
      <c r="J61" t="s">
        <v>215</v>
      </c>
      <c r="K61" t="s">
        <v>66</v>
      </c>
      <c r="Q61" t="s">
        <v>22</v>
      </c>
      <c r="R61" t="s">
        <v>30</v>
      </c>
      <c r="S61" t="s">
        <v>216</v>
      </c>
      <c r="T61" t="s">
        <v>102</v>
      </c>
    </row>
    <row r="62" spans="1:20" x14ac:dyDescent="0.3">
      <c r="A62" t="s">
        <v>217</v>
      </c>
      <c r="D62" s="1" t="s">
        <v>507</v>
      </c>
      <c r="E62" t="s">
        <v>218</v>
      </c>
      <c r="F62" t="s">
        <v>34</v>
      </c>
      <c r="G62" t="s">
        <v>26</v>
      </c>
      <c r="J62" t="s">
        <v>219</v>
      </c>
      <c r="K62" t="s">
        <v>106</v>
      </c>
      <c r="Q62" t="s">
        <v>22</v>
      </c>
      <c r="R62" t="s">
        <v>30</v>
      </c>
      <c r="S62" t="s">
        <v>23</v>
      </c>
      <c r="T62" t="s">
        <v>102</v>
      </c>
    </row>
    <row r="63" spans="1:20" x14ac:dyDescent="0.3">
      <c r="A63" t="s">
        <v>220</v>
      </c>
      <c r="D63" s="1" t="s">
        <v>507</v>
      </c>
      <c r="E63" t="s">
        <v>221</v>
      </c>
      <c r="F63" t="s">
        <v>34</v>
      </c>
      <c r="G63" t="s">
        <v>26</v>
      </c>
      <c r="K63" t="s">
        <v>106</v>
      </c>
      <c r="Q63" t="s">
        <v>22</v>
      </c>
      <c r="R63" t="s">
        <v>30</v>
      </c>
      <c r="S63" t="s">
        <v>23</v>
      </c>
      <c r="T63" t="s">
        <v>102</v>
      </c>
    </row>
    <row r="64" spans="1:20" x14ac:dyDescent="0.3">
      <c r="A64" t="s">
        <v>222</v>
      </c>
      <c r="D64" s="1" t="s">
        <v>507</v>
      </c>
      <c r="E64" t="s">
        <v>223</v>
      </c>
      <c r="F64" t="s">
        <v>34</v>
      </c>
      <c r="G64" t="s">
        <v>26</v>
      </c>
      <c r="J64" t="s">
        <v>224</v>
      </c>
      <c r="K64" t="s">
        <v>225</v>
      </c>
      <c r="L64" t="s">
        <v>21</v>
      </c>
      <c r="M64" t="s">
        <v>29</v>
      </c>
      <c r="Q64" t="s">
        <v>22</v>
      </c>
      <c r="R64" t="s">
        <v>30</v>
      </c>
      <c r="S64" t="s">
        <v>23</v>
      </c>
      <c r="T64" t="s">
        <v>145</v>
      </c>
    </row>
    <row r="65" spans="1:20" x14ac:dyDescent="0.3">
      <c r="A65" t="s">
        <v>226</v>
      </c>
      <c r="D65" s="1" t="s">
        <v>507</v>
      </c>
      <c r="E65" t="s">
        <v>227</v>
      </c>
      <c r="F65" t="s">
        <v>34</v>
      </c>
      <c r="G65" t="s">
        <v>26</v>
      </c>
      <c r="K65" t="s">
        <v>225</v>
      </c>
      <c r="L65" t="s">
        <v>21</v>
      </c>
      <c r="M65" t="s">
        <v>29</v>
      </c>
      <c r="Q65" t="s">
        <v>22</v>
      </c>
      <c r="R65" t="s">
        <v>30</v>
      </c>
      <c r="S65" t="s">
        <v>23</v>
      </c>
      <c r="T65" t="s">
        <v>145</v>
      </c>
    </row>
    <row r="66" spans="1:20" x14ac:dyDescent="0.3">
      <c r="A66" t="s">
        <v>228</v>
      </c>
      <c r="B66" s="1" t="s">
        <v>628</v>
      </c>
      <c r="C66" s="1" t="s">
        <v>642</v>
      </c>
      <c r="D66" s="1" t="s">
        <v>643</v>
      </c>
      <c r="E66" t="s">
        <v>229</v>
      </c>
      <c r="F66" t="s">
        <v>20</v>
      </c>
      <c r="G66" t="s">
        <v>26</v>
      </c>
      <c r="H66">
        <v>30915</v>
      </c>
      <c r="I66" t="str">
        <f>VLOOKUP(A:A,[1]기본데이터!$B:$E,4,0)</f>
        <v>솔릭스픽스(다목적용)</v>
      </c>
      <c r="J66" t="s">
        <v>230</v>
      </c>
      <c r="K66" t="s">
        <v>101</v>
      </c>
      <c r="L66" t="s">
        <v>76</v>
      </c>
      <c r="M66" t="s">
        <v>77</v>
      </c>
      <c r="N66" t="s">
        <v>78</v>
      </c>
      <c r="Q66" t="s">
        <v>22</v>
      </c>
      <c r="R66" t="s">
        <v>30</v>
      </c>
      <c r="S66" t="s">
        <v>23</v>
      </c>
      <c r="T66" t="s">
        <v>137</v>
      </c>
    </row>
    <row r="67" spans="1:20" x14ac:dyDescent="0.3">
      <c r="A67" t="s">
        <v>231</v>
      </c>
      <c r="B67" s="1" t="s">
        <v>628</v>
      </c>
      <c r="C67" s="1" t="s">
        <v>644</v>
      </c>
      <c r="D67" s="1" t="s">
        <v>645</v>
      </c>
      <c r="E67" t="s">
        <v>232</v>
      </c>
      <c r="F67" t="s">
        <v>20</v>
      </c>
      <c r="G67" t="s">
        <v>26</v>
      </c>
      <c r="H67">
        <v>30916</v>
      </c>
      <c r="I67" t="str">
        <f>VLOOKUP(A:A,[1]기본데이터!$B:$E,4,0)</f>
        <v>도어고정쇠(말발굽)</v>
      </c>
      <c r="K67" t="s">
        <v>66</v>
      </c>
      <c r="Q67" t="s">
        <v>22</v>
      </c>
      <c r="R67" t="s">
        <v>30</v>
      </c>
      <c r="S67" t="s">
        <v>216</v>
      </c>
      <c r="T67" t="s">
        <v>36</v>
      </c>
    </row>
    <row r="68" spans="1:20" x14ac:dyDescent="0.3">
      <c r="A68" t="s">
        <v>233</v>
      </c>
      <c r="B68" s="1" t="s">
        <v>637</v>
      </c>
      <c r="C68" s="1" t="s">
        <v>646</v>
      </c>
      <c r="D68" s="1" t="s">
        <v>647</v>
      </c>
      <c r="E68" t="s">
        <v>234</v>
      </c>
      <c r="F68" t="s">
        <v>20</v>
      </c>
      <c r="G68" t="s">
        <v>26</v>
      </c>
      <c r="H68">
        <v>39930</v>
      </c>
      <c r="I68" t="str">
        <f>VLOOKUP(A:A,[1]기본데이터!$B:$E,4,0)</f>
        <v>바이오홈실리콘(투명)</v>
      </c>
      <c r="K68" t="s">
        <v>109</v>
      </c>
      <c r="L68" t="s">
        <v>76</v>
      </c>
      <c r="M68" t="s">
        <v>77</v>
      </c>
      <c r="N68" t="s">
        <v>78</v>
      </c>
      <c r="Q68" t="s">
        <v>22</v>
      </c>
      <c r="R68" t="s">
        <v>30</v>
      </c>
      <c r="S68" t="s">
        <v>23</v>
      </c>
      <c r="T68" t="s">
        <v>102</v>
      </c>
    </row>
    <row r="69" spans="1:20" x14ac:dyDescent="0.3">
      <c r="A69" t="s">
        <v>235</v>
      </c>
      <c r="B69" s="1" t="s">
        <v>637</v>
      </c>
      <c r="C69" s="1" t="s">
        <v>648</v>
      </c>
      <c r="D69" s="1" t="s">
        <v>649</v>
      </c>
      <c r="E69" t="s">
        <v>236</v>
      </c>
      <c r="F69" t="s">
        <v>20</v>
      </c>
      <c r="G69" t="s">
        <v>26</v>
      </c>
      <c r="H69">
        <v>39931</v>
      </c>
      <c r="I69" t="str">
        <f>VLOOKUP(A:A,[1]기본데이터!$B:$E,4,0)</f>
        <v>바이오홈실리콘(백색)</v>
      </c>
      <c r="K69" t="s">
        <v>109</v>
      </c>
      <c r="L69" t="s">
        <v>76</v>
      </c>
      <c r="M69" t="s">
        <v>77</v>
      </c>
      <c r="N69" t="s">
        <v>78</v>
      </c>
      <c r="Q69" t="s">
        <v>22</v>
      </c>
      <c r="R69" t="s">
        <v>30</v>
      </c>
      <c r="S69" t="s">
        <v>23</v>
      </c>
      <c r="T69" t="s">
        <v>102</v>
      </c>
    </row>
    <row r="70" spans="1:20" x14ac:dyDescent="0.3">
      <c r="A70" t="s">
        <v>237</v>
      </c>
      <c r="D70" s="1" t="s">
        <v>650</v>
      </c>
      <c r="E70" t="s">
        <v>238</v>
      </c>
      <c r="F70" t="s">
        <v>34</v>
      </c>
      <c r="G70" t="s">
        <v>26</v>
      </c>
      <c r="H70">
        <v>43525</v>
      </c>
      <c r="K70" t="s">
        <v>106</v>
      </c>
      <c r="L70" t="s">
        <v>21</v>
      </c>
      <c r="M70" t="s">
        <v>29</v>
      </c>
      <c r="Q70" t="s">
        <v>22</v>
      </c>
      <c r="R70" t="s">
        <v>30</v>
      </c>
      <c r="S70" t="s">
        <v>23</v>
      </c>
      <c r="T70" t="s">
        <v>102</v>
      </c>
    </row>
    <row r="71" spans="1:20" x14ac:dyDescent="0.3">
      <c r="A71" t="s">
        <v>239</v>
      </c>
      <c r="B71" s="1" t="s">
        <v>628</v>
      </c>
      <c r="C71" s="1" t="s">
        <v>651</v>
      </c>
      <c r="D71" s="1" t="s">
        <v>652</v>
      </c>
      <c r="E71" t="s">
        <v>240</v>
      </c>
      <c r="F71" t="s">
        <v>20</v>
      </c>
      <c r="G71" t="s">
        <v>26</v>
      </c>
      <c r="H71">
        <v>43526</v>
      </c>
      <c r="I71" t="str">
        <f>VLOOKUP(A:A,[1]기본데이터!$B:$E,4,0)</f>
        <v>접착제제거제</v>
      </c>
      <c r="K71" t="s">
        <v>101</v>
      </c>
      <c r="L71" t="s">
        <v>76</v>
      </c>
      <c r="M71" t="s">
        <v>77</v>
      </c>
      <c r="N71" t="s">
        <v>78</v>
      </c>
      <c r="Q71" t="s">
        <v>22</v>
      </c>
      <c r="R71" t="s">
        <v>30</v>
      </c>
      <c r="S71" t="s">
        <v>23</v>
      </c>
      <c r="T71" t="s">
        <v>102</v>
      </c>
    </row>
    <row r="72" spans="1:20" x14ac:dyDescent="0.3">
      <c r="A72" t="s">
        <v>241</v>
      </c>
      <c r="B72" s="1" t="s">
        <v>546</v>
      </c>
      <c r="C72" s="1" t="s">
        <v>653</v>
      </c>
      <c r="D72" s="1" t="s">
        <v>654</v>
      </c>
      <c r="E72" t="s">
        <v>242</v>
      </c>
      <c r="F72" t="s">
        <v>20</v>
      </c>
      <c r="G72" t="s">
        <v>26</v>
      </c>
      <c r="H72">
        <v>57385</v>
      </c>
      <c r="I72" t="str">
        <f>VLOOKUP(A:A,[1]기본데이터!$B:$E,4,0)</f>
        <v>FIX순간접착제(5 g)</v>
      </c>
      <c r="K72" t="s">
        <v>101</v>
      </c>
      <c r="L72" t="s">
        <v>76</v>
      </c>
      <c r="M72" t="s">
        <v>77</v>
      </c>
      <c r="N72" t="s">
        <v>78</v>
      </c>
      <c r="Q72" t="s">
        <v>22</v>
      </c>
      <c r="R72" t="s">
        <v>30</v>
      </c>
      <c r="S72" t="s">
        <v>23</v>
      </c>
      <c r="T72" t="s">
        <v>102</v>
      </c>
    </row>
    <row r="73" spans="1:20" x14ac:dyDescent="0.3">
      <c r="A73" t="s">
        <v>243</v>
      </c>
      <c r="B73" s="1" t="s">
        <v>628</v>
      </c>
      <c r="C73" s="1" t="s">
        <v>655</v>
      </c>
      <c r="D73" s="1" t="s">
        <v>656</v>
      </c>
      <c r="E73" t="s">
        <v>244</v>
      </c>
      <c r="F73" t="s">
        <v>20</v>
      </c>
      <c r="G73" t="s">
        <v>26</v>
      </c>
      <c r="H73">
        <v>57386</v>
      </c>
      <c r="I73" t="str">
        <f>VLOOKUP(A:A,[1]기본데이터!$B:$E,4,0)</f>
        <v>FIX순간접착제(20 g)</v>
      </c>
      <c r="K73" t="s">
        <v>101</v>
      </c>
      <c r="L73" t="s">
        <v>76</v>
      </c>
      <c r="M73" t="s">
        <v>77</v>
      </c>
      <c r="N73" t="s">
        <v>78</v>
      </c>
      <c r="Q73" t="s">
        <v>22</v>
      </c>
      <c r="R73" t="s">
        <v>30</v>
      </c>
      <c r="S73" t="s">
        <v>23</v>
      </c>
      <c r="T73" t="s">
        <v>102</v>
      </c>
    </row>
    <row r="74" spans="1:20" x14ac:dyDescent="0.3">
      <c r="A74" t="s">
        <v>245</v>
      </c>
      <c r="B74" s="1" t="s">
        <v>546</v>
      </c>
      <c r="C74" s="1" t="s">
        <v>657</v>
      </c>
      <c r="D74" s="1" t="s">
        <v>658</v>
      </c>
      <c r="E74" t="s">
        <v>246</v>
      </c>
      <c r="F74" t="s">
        <v>20</v>
      </c>
      <c r="G74" t="s">
        <v>26</v>
      </c>
      <c r="H74">
        <v>57387</v>
      </c>
      <c r="I74" t="str">
        <f>VLOOKUP(A:A,[1]기본데이터!$B:$E,4,0)</f>
        <v>FIX순간접착제(5 g)(브러쉬형)</v>
      </c>
      <c r="K74" t="s">
        <v>101</v>
      </c>
      <c r="L74" t="s">
        <v>76</v>
      </c>
      <c r="M74" t="s">
        <v>77</v>
      </c>
      <c r="N74" t="s">
        <v>78</v>
      </c>
      <c r="Q74" t="s">
        <v>22</v>
      </c>
      <c r="R74" t="s">
        <v>30</v>
      </c>
      <c r="S74" t="s">
        <v>23</v>
      </c>
      <c r="T74" t="s">
        <v>102</v>
      </c>
    </row>
    <row r="75" spans="1:20" x14ac:dyDescent="0.3">
      <c r="A75" t="s">
        <v>247</v>
      </c>
      <c r="B75" s="1" t="s">
        <v>628</v>
      </c>
      <c r="C75" s="1" t="s">
        <v>659</v>
      </c>
      <c r="D75" s="1" t="s">
        <v>660</v>
      </c>
      <c r="E75" t="s">
        <v>248</v>
      </c>
      <c r="F75" t="s">
        <v>20</v>
      </c>
      <c r="G75" t="s">
        <v>26</v>
      </c>
      <c r="H75">
        <v>57388</v>
      </c>
      <c r="I75" t="str">
        <f>VLOOKUP(A:A,[1]기본데이터!$B:$E,4,0)</f>
        <v>FIX접착제세트(15 g+30 ml)</v>
      </c>
      <c r="K75" t="s">
        <v>101</v>
      </c>
      <c r="L75" t="s">
        <v>76</v>
      </c>
      <c r="M75" t="s">
        <v>77</v>
      </c>
      <c r="N75" t="s">
        <v>78</v>
      </c>
      <c r="Q75" t="s">
        <v>22</v>
      </c>
      <c r="R75" t="s">
        <v>30</v>
      </c>
      <c r="S75" t="s">
        <v>23</v>
      </c>
      <c r="T75" t="s">
        <v>102</v>
      </c>
    </row>
    <row r="76" spans="1:20" x14ac:dyDescent="0.3">
      <c r="A76" t="s">
        <v>249</v>
      </c>
      <c r="D76" s="1" t="s">
        <v>661</v>
      </c>
      <c r="E76" t="s">
        <v>250</v>
      </c>
      <c r="F76" t="s">
        <v>34</v>
      </c>
      <c r="G76" t="s">
        <v>26</v>
      </c>
      <c r="H76">
        <v>57389</v>
      </c>
      <c r="L76" t="s">
        <v>21</v>
      </c>
      <c r="M76" t="s">
        <v>29</v>
      </c>
      <c r="Q76" t="s">
        <v>22</v>
      </c>
      <c r="R76" t="s">
        <v>30</v>
      </c>
      <c r="S76" t="s">
        <v>23</v>
      </c>
      <c r="T76" t="s">
        <v>36</v>
      </c>
    </row>
    <row r="77" spans="1:20" x14ac:dyDescent="0.3">
      <c r="A77" t="s">
        <v>251</v>
      </c>
      <c r="B77" s="1" t="s">
        <v>628</v>
      </c>
      <c r="C77" s="1" t="s">
        <v>662</v>
      </c>
      <c r="D77" s="1" t="s">
        <v>663</v>
      </c>
      <c r="E77" t="s">
        <v>252</v>
      </c>
      <c r="F77" t="s">
        <v>20</v>
      </c>
      <c r="G77" t="s">
        <v>26</v>
      </c>
      <c r="H77">
        <v>57390</v>
      </c>
      <c r="I77" t="str">
        <f>VLOOKUP(A:A,[1]기본데이터!$B:$E,4,0)</f>
        <v>롱노우즈100</v>
      </c>
      <c r="K77" t="s">
        <v>253</v>
      </c>
      <c r="L77" t="s">
        <v>21</v>
      </c>
      <c r="M77" t="s">
        <v>29</v>
      </c>
      <c r="Q77" t="s">
        <v>22</v>
      </c>
      <c r="R77" t="s">
        <v>30</v>
      </c>
      <c r="S77" t="s">
        <v>23</v>
      </c>
      <c r="T77" t="s">
        <v>36</v>
      </c>
    </row>
    <row r="78" spans="1:20" x14ac:dyDescent="0.3">
      <c r="A78" t="s">
        <v>254</v>
      </c>
      <c r="B78" s="1" t="s">
        <v>637</v>
      </c>
      <c r="C78" s="1" t="s">
        <v>664</v>
      </c>
      <c r="D78" s="1" t="s">
        <v>665</v>
      </c>
      <c r="E78" t="s">
        <v>255</v>
      </c>
      <c r="F78" t="s">
        <v>20</v>
      </c>
      <c r="G78" t="s">
        <v>26</v>
      </c>
      <c r="H78">
        <v>57391</v>
      </c>
      <c r="I78" t="str">
        <f>VLOOKUP(A:A,[1]기본데이터!$B:$E,4,0)</f>
        <v>롱노우즈150</v>
      </c>
      <c r="K78" t="s">
        <v>253</v>
      </c>
      <c r="L78" t="s">
        <v>21</v>
      </c>
      <c r="M78" t="s">
        <v>29</v>
      </c>
      <c r="Q78" t="s">
        <v>22</v>
      </c>
      <c r="R78" t="s">
        <v>30</v>
      </c>
      <c r="S78" t="s">
        <v>23</v>
      </c>
      <c r="T78" t="s">
        <v>36</v>
      </c>
    </row>
    <row r="79" spans="1:20" x14ac:dyDescent="0.3">
      <c r="A79" t="s">
        <v>256</v>
      </c>
      <c r="B79" s="1" t="s">
        <v>637</v>
      </c>
      <c r="C79" s="1" t="s">
        <v>666</v>
      </c>
      <c r="D79" s="1" t="s">
        <v>667</v>
      </c>
      <c r="E79" t="s">
        <v>257</v>
      </c>
      <c r="F79" t="s">
        <v>20</v>
      </c>
      <c r="G79" t="s">
        <v>26</v>
      </c>
      <c r="H79">
        <v>57392</v>
      </c>
      <c r="I79" t="str">
        <f>VLOOKUP(A:A,[1]기본데이터!$B:$E,4,0)</f>
        <v>롱노우즈150(손잡이)</v>
      </c>
      <c r="K79" t="s">
        <v>253</v>
      </c>
      <c r="L79" t="s">
        <v>21</v>
      </c>
      <c r="M79" t="s">
        <v>29</v>
      </c>
      <c r="Q79" t="s">
        <v>22</v>
      </c>
      <c r="R79" t="s">
        <v>30</v>
      </c>
      <c r="S79" t="s">
        <v>23</v>
      </c>
      <c r="T79" t="s">
        <v>36</v>
      </c>
    </row>
    <row r="80" spans="1:20" x14ac:dyDescent="0.3">
      <c r="A80" t="s">
        <v>258</v>
      </c>
      <c r="D80" s="1" t="s">
        <v>668</v>
      </c>
      <c r="E80" t="s">
        <v>259</v>
      </c>
      <c r="F80" t="s">
        <v>34</v>
      </c>
      <c r="G80" t="s">
        <v>26</v>
      </c>
      <c r="H80">
        <v>57393</v>
      </c>
      <c r="L80" t="s">
        <v>21</v>
      </c>
      <c r="M80" t="s">
        <v>29</v>
      </c>
      <c r="Q80" t="s">
        <v>22</v>
      </c>
      <c r="R80" t="s">
        <v>30</v>
      </c>
      <c r="S80" t="s">
        <v>23</v>
      </c>
      <c r="T80" t="s">
        <v>36</v>
      </c>
    </row>
    <row r="81" spans="1:20" x14ac:dyDescent="0.3">
      <c r="A81" t="s">
        <v>260</v>
      </c>
      <c r="D81" s="1" t="s">
        <v>669</v>
      </c>
      <c r="E81" t="s">
        <v>261</v>
      </c>
      <c r="F81" t="s">
        <v>34</v>
      </c>
      <c r="G81" t="s">
        <v>26</v>
      </c>
      <c r="H81">
        <v>57394</v>
      </c>
      <c r="L81" t="s">
        <v>21</v>
      </c>
      <c r="M81" t="s">
        <v>29</v>
      </c>
      <c r="Q81" t="s">
        <v>22</v>
      </c>
      <c r="R81" t="s">
        <v>30</v>
      </c>
      <c r="S81" t="s">
        <v>23</v>
      </c>
      <c r="T81" t="s">
        <v>36</v>
      </c>
    </row>
    <row r="82" spans="1:20" x14ac:dyDescent="0.3">
      <c r="A82" t="s">
        <v>262</v>
      </c>
      <c r="B82" s="1" t="s">
        <v>628</v>
      </c>
      <c r="C82" s="1" t="s">
        <v>670</v>
      </c>
      <c r="D82" s="1" t="s">
        <v>671</v>
      </c>
      <c r="E82" t="s">
        <v>263</v>
      </c>
      <c r="F82" t="s">
        <v>20</v>
      </c>
      <c r="G82" t="s">
        <v>26</v>
      </c>
      <c r="H82">
        <v>57395</v>
      </c>
      <c r="I82" t="str">
        <f>VLOOKUP(A:A,[1]기본데이터!$B:$E,4,0)</f>
        <v>니퍼100</v>
      </c>
      <c r="K82" t="s">
        <v>253</v>
      </c>
      <c r="L82" t="s">
        <v>21</v>
      </c>
      <c r="M82" t="s">
        <v>29</v>
      </c>
      <c r="Q82" t="s">
        <v>22</v>
      </c>
      <c r="R82" t="s">
        <v>30</v>
      </c>
      <c r="S82" t="s">
        <v>23</v>
      </c>
      <c r="T82" t="s">
        <v>36</v>
      </c>
    </row>
    <row r="83" spans="1:20" x14ac:dyDescent="0.3">
      <c r="A83" t="s">
        <v>264</v>
      </c>
      <c r="B83" s="1" t="s">
        <v>637</v>
      </c>
      <c r="C83" s="1" t="s">
        <v>672</v>
      </c>
      <c r="D83" s="1" t="s">
        <v>673</v>
      </c>
      <c r="E83" t="s">
        <v>265</v>
      </c>
      <c r="F83" t="s">
        <v>20</v>
      </c>
      <c r="G83" t="s">
        <v>26</v>
      </c>
      <c r="H83">
        <v>57396</v>
      </c>
      <c r="I83" t="str">
        <f>VLOOKUP(A:A,[1]기본데이터!$B:$E,4,0)</f>
        <v>니퍼150</v>
      </c>
      <c r="K83" t="s">
        <v>253</v>
      </c>
      <c r="L83" t="s">
        <v>21</v>
      </c>
      <c r="M83" t="s">
        <v>29</v>
      </c>
      <c r="Q83" t="s">
        <v>22</v>
      </c>
      <c r="R83" t="s">
        <v>30</v>
      </c>
      <c r="S83" t="s">
        <v>23</v>
      </c>
      <c r="T83" t="s">
        <v>36</v>
      </c>
    </row>
    <row r="84" spans="1:20" x14ac:dyDescent="0.3">
      <c r="A84" t="s">
        <v>266</v>
      </c>
      <c r="B84" s="1" t="s">
        <v>637</v>
      </c>
      <c r="C84" s="1" t="s">
        <v>674</v>
      </c>
      <c r="D84" s="1" t="s">
        <v>675</v>
      </c>
      <c r="E84" t="s">
        <v>267</v>
      </c>
      <c r="F84" t="s">
        <v>20</v>
      </c>
      <c r="G84" t="s">
        <v>26</v>
      </c>
      <c r="H84">
        <v>57397</v>
      </c>
      <c r="I84" t="str">
        <f>VLOOKUP(A:A,[1]기본데이터!$B:$E,4,0)</f>
        <v>니퍼150(손잡이)</v>
      </c>
      <c r="K84" t="s">
        <v>253</v>
      </c>
      <c r="L84" t="s">
        <v>21</v>
      </c>
      <c r="M84" t="s">
        <v>29</v>
      </c>
      <c r="Q84" t="s">
        <v>22</v>
      </c>
      <c r="R84" t="s">
        <v>30</v>
      </c>
      <c r="S84" t="s">
        <v>23</v>
      </c>
      <c r="T84" t="s">
        <v>36</v>
      </c>
    </row>
    <row r="85" spans="1:20" x14ac:dyDescent="0.3">
      <c r="A85" t="s">
        <v>268</v>
      </c>
      <c r="D85" s="1" t="s">
        <v>676</v>
      </c>
      <c r="E85" t="s">
        <v>269</v>
      </c>
      <c r="F85" t="s">
        <v>34</v>
      </c>
      <c r="G85" t="s">
        <v>26</v>
      </c>
      <c r="H85">
        <v>57398</v>
      </c>
      <c r="L85" t="s">
        <v>21</v>
      </c>
      <c r="M85" t="s">
        <v>29</v>
      </c>
      <c r="Q85" t="s">
        <v>22</v>
      </c>
      <c r="R85" t="s">
        <v>30</v>
      </c>
      <c r="S85" t="s">
        <v>23</v>
      </c>
      <c r="T85" t="s">
        <v>36</v>
      </c>
    </row>
    <row r="86" spans="1:20" x14ac:dyDescent="0.3">
      <c r="A86" t="s">
        <v>270</v>
      </c>
      <c r="D86" s="1" t="s">
        <v>677</v>
      </c>
      <c r="E86" t="s">
        <v>271</v>
      </c>
      <c r="F86" t="s">
        <v>34</v>
      </c>
      <c r="G86" t="s">
        <v>26</v>
      </c>
      <c r="H86">
        <v>57399</v>
      </c>
      <c r="L86" t="s">
        <v>21</v>
      </c>
      <c r="M86" t="s">
        <v>29</v>
      </c>
      <c r="Q86" t="s">
        <v>22</v>
      </c>
      <c r="R86" t="s">
        <v>30</v>
      </c>
      <c r="S86" t="s">
        <v>23</v>
      </c>
      <c r="T86" t="s">
        <v>36</v>
      </c>
    </row>
    <row r="87" spans="1:20" x14ac:dyDescent="0.3">
      <c r="A87" t="s">
        <v>272</v>
      </c>
      <c r="B87" s="1" t="s">
        <v>628</v>
      </c>
      <c r="C87" s="1" t="s">
        <v>678</v>
      </c>
      <c r="D87" s="1" t="s">
        <v>679</v>
      </c>
      <c r="E87" t="s">
        <v>273</v>
      </c>
      <c r="F87" t="s">
        <v>20</v>
      </c>
      <c r="G87" t="s">
        <v>26</v>
      </c>
      <c r="H87">
        <v>57400</v>
      </c>
      <c r="I87" t="str">
        <f>VLOOKUP(A:A,[1]기본데이터!$B:$E,4,0)</f>
        <v>펜치100</v>
      </c>
      <c r="K87" t="s">
        <v>253</v>
      </c>
      <c r="L87" t="s">
        <v>21</v>
      </c>
      <c r="M87" t="s">
        <v>29</v>
      </c>
      <c r="Q87" t="s">
        <v>22</v>
      </c>
      <c r="R87" t="s">
        <v>30</v>
      </c>
      <c r="S87" t="s">
        <v>23</v>
      </c>
      <c r="T87" t="s">
        <v>36</v>
      </c>
    </row>
    <row r="88" spans="1:20" x14ac:dyDescent="0.3">
      <c r="A88" t="s">
        <v>274</v>
      </c>
      <c r="B88" s="1" t="s">
        <v>637</v>
      </c>
      <c r="C88" s="1" t="s">
        <v>680</v>
      </c>
      <c r="D88" s="1" t="s">
        <v>681</v>
      </c>
      <c r="E88" t="s">
        <v>275</v>
      </c>
      <c r="F88" t="s">
        <v>20</v>
      </c>
      <c r="G88" t="s">
        <v>26</v>
      </c>
      <c r="H88">
        <v>57401</v>
      </c>
      <c r="I88" t="str">
        <f>VLOOKUP(A:A,[1]기본데이터!$B:$E,4,0)</f>
        <v>펜치150</v>
      </c>
      <c r="K88" t="s">
        <v>253</v>
      </c>
      <c r="L88" t="s">
        <v>21</v>
      </c>
      <c r="M88" t="s">
        <v>29</v>
      </c>
      <c r="Q88" t="s">
        <v>22</v>
      </c>
      <c r="R88" t="s">
        <v>30</v>
      </c>
      <c r="S88" t="s">
        <v>23</v>
      </c>
      <c r="T88" t="s">
        <v>36</v>
      </c>
    </row>
    <row r="89" spans="1:20" x14ac:dyDescent="0.3">
      <c r="A89" t="s">
        <v>276</v>
      </c>
      <c r="B89" s="1" t="s">
        <v>637</v>
      </c>
      <c r="C89" s="1" t="s">
        <v>682</v>
      </c>
      <c r="D89" s="1" t="s">
        <v>683</v>
      </c>
      <c r="E89" t="s">
        <v>277</v>
      </c>
      <c r="F89" t="s">
        <v>20</v>
      </c>
      <c r="G89" t="s">
        <v>26</v>
      </c>
      <c r="H89">
        <v>57402</v>
      </c>
      <c r="I89" t="str">
        <f>VLOOKUP(A:A,[1]기본데이터!$B:$E,4,0)</f>
        <v>펜치150(손잡이)</v>
      </c>
      <c r="K89" t="s">
        <v>253</v>
      </c>
      <c r="L89" t="s">
        <v>21</v>
      </c>
      <c r="M89" t="s">
        <v>29</v>
      </c>
      <c r="Q89" t="s">
        <v>22</v>
      </c>
      <c r="R89" t="s">
        <v>30</v>
      </c>
      <c r="S89" t="s">
        <v>23</v>
      </c>
      <c r="T89" t="s">
        <v>36</v>
      </c>
    </row>
    <row r="90" spans="1:20" x14ac:dyDescent="0.3">
      <c r="A90" t="s">
        <v>278</v>
      </c>
      <c r="D90" s="1" t="s">
        <v>684</v>
      </c>
      <c r="E90" t="s">
        <v>279</v>
      </c>
      <c r="F90" t="s">
        <v>34</v>
      </c>
      <c r="G90" t="s">
        <v>26</v>
      </c>
      <c r="H90">
        <v>57403</v>
      </c>
      <c r="L90" t="s">
        <v>21</v>
      </c>
      <c r="M90" t="s">
        <v>29</v>
      </c>
      <c r="Q90" t="s">
        <v>22</v>
      </c>
      <c r="R90" t="s">
        <v>30</v>
      </c>
      <c r="S90" t="s">
        <v>23</v>
      </c>
      <c r="T90" t="s">
        <v>36</v>
      </c>
    </row>
    <row r="91" spans="1:20" x14ac:dyDescent="0.3">
      <c r="A91" t="s">
        <v>280</v>
      </c>
      <c r="D91" s="1" t="s">
        <v>685</v>
      </c>
      <c r="E91" t="s">
        <v>281</v>
      </c>
      <c r="F91" t="s">
        <v>34</v>
      </c>
      <c r="G91" t="s">
        <v>26</v>
      </c>
      <c r="H91">
        <v>57404</v>
      </c>
      <c r="K91" t="s">
        <v>253</v>
      </c>
      <c r="L91" t="s">
        <v>21</v>
      </c>
      <c r="M91" t="s">
        <v>29</v>
      </c>
      <c r="Q91" t="s">
        <v>22</v>
      </c>
      <c r="R91" t="s">
        <v>30</v>
      </c>
      <c r="S91" t="s">
        <v>23</v>
      </c>
      <c r="T91" t="s">
        <v>36</v>
      </c>
    </row>
    <row r="92" spans="1:20" x14ac:dyDescent="0.3">
      <c r="A92" t="s">
        <v>282</v>
      </c>
      <c r="D92" s="1" t="s">
        <v>686</v>
      </c>
      <c r="E92" t="s">
        <v>283</v>
      </c>
      <c r="F92" t="s">
        <v>34</v>
      </c>
      <c r="G92" t="s">
        <v>26</v>
      </c>
      <c r="H92">
        <v>57405</v>
      </c>
      <c r="L92" t="s">
        <v>21</v>
      </c>
      <c r="M92" t="s">
        <v>29</v>
      </c>
      <c r="Q92" t="s">
        <v>22</v>
      </c>
      <c r="R92" t="s">
        <v>30</v>
      </c>
      <c r="S92" t="s">
        <v>23</v>
      </c>
      <c r="T92" t="s">
        <v>36</v>
      </c>
    </row>
    <row r="93" spans="1:20" x14ac:dyDescent="0.3">
      <c r="A93" t="s">
        <v>284</v>
      </c>
      <c r="D93" s="1" t="s">
        <v>687</v>
      </c>
      <c r="E93" t="s">
        <v>285</v>
      </c>
      <c r="F93" t="s">
        <v>34</v>
      </c>
      <c r="G93" t="s">
        <v>26</v>
      </c>
      <c r="H93">
        <v>57406</v>
      </c>
      <c r="K93" t="s">
        <v>253</v>
      </c>
      <c r="L93" t="s">
        <v>21</v>
      </c>
      <c r="M93" t="s">
        <v>29</v>
      </c>
      <c r="Q93" t="s">
        <v>22</v>
      </c>
      <c r="R93" t="s">
        <v>30</v>
      </c>
      <c r="S93" t="s">
        <v>23</v>
      </c>
      <c r="T93" t="s">
        <v>36</v>
      </c>
    </row>
    <row r="94" spans="1:20" x14ac:dyDescent="0.3">
      <c r="A94" t="s">
        <v>286</v>
      </c>
      <c r="D94" s="1" t="s">
        <v>688</v>
      </c>
      <c r="E94" t="s">
        <v>287</v>
      </c>
      <c r="F94" t="s">
        <v>34</v>
      </c>
      <c r="G94" t="s">
        <v>26</v>
      </c>
      <c r="H94">
        <v>57407</v>
      </c>
      <c r="K94" t="s">
        <v>288</v>
      </c>
      <c r="L94" t="s">
        <v>21</v>
      </c>
      <c r="M94" t="s">
        <v>29</v>
      </c>
      <c r="Q94" t="s">
        <v>22</v>
      </c>
      <c r="R94" t="s">
        <v>30</v>
      </c>
      <c r="S94" t="s">
        <v>23</v>
      </c>
      <c r="T94" t="s">
        <v>36</v>
      </c>
    </row>
    <row r="95" spans="1:20" x14ac:dyDescent="0.3">
      <c r="A95" t="s">
        <v>289</v>
      </c>
      <c r="D95" s="1" t="s">
        <v>689</v>
      </c>
      <c r="E95" t="s">
        <v>290</v>
      </c>
      <c r="F95" t="s">
        <v>34</v>
      </c>
      <c r="G95" t="s">
        <v>26</v>
      </c>
      <c r="H95">
        <v>57408</v>
      </c>
      <c r="K95" t="s">
        <v>288</v>
      </c>
      <c r="L95" t="s">
        <v>21</v>
      </c>
      <c r="M95" t="s">
        <v>29</v>
      </c>
      <c r="Q95" t="s">
        <v>22</v>
      </c>
      <c r="R95" t="s">
        <v>30</v>
      </c>
      <c r="S95" t="s">
        <v>23</v>
      </c>
      <c r="T95" t="s">
        <v>36</v>
      </c>
    </row>
    <row r="96" spans="1:20" x14ac:dyDescent="0.3">
      <c r="A96" t="s">
        <v>291</v>
      </c>
      <c r="B96" s="1" t="s">
        <v>628</v>
      </c>
      <c r="C96" s="1" t="s">
        <v>690</v>
      </c>
      <c r="D96" s="1" t="s">
        <v>691</v>
      </c>
      <c r="E96" t="s">
        <v>292</v>
      </c>
      <c r="F96" t="s">
        <v>20</v>
      </c>
      <c r="G96" t="s">
        <v>26</v>
      </c>
      <c r="H96">
        <v>57409</v>
      </c>
      <c r="I96" t="str">
        <f>VLOOKUP(A:A,[1]기본데이터!$B:$E,4,0)</f>
        <v>간편와이어스트리퍼</v>
      </c>
      <c r="K96" t="s">
        <v>293</v>
      </c>
      <c r="L96" t="s">
        <v>21</v>
      </c>
      <c r="M96" t="s">
        <v>29</v>
      </c>
      <c r="Q96" t="s">
        <v>22</v>
      </c>
      <c r="R96" t="s">
        <v>30</v>
      </c>
      <c r="S96" t="s">
        <v>23</v>
      </c>
      <c r="T96" t="s">
        <v>36</v>
      </c>
    </row>
    <row r="97" spans="1:20" x14ac:dyDescent="0.3">
      <c r="A97" t="s">
        <v>294</v>
      </c>
      <c r="B97" s="1" t="s">
        <v>637</v>
      </c>
      <c r="C97" s="1" t="s">
        <v>692</v>
      </c>
      <c r="D97" s="1" t="s">
        <v>693</v>
      </c>
      <c r="E97" t="s">
        <v>295</v>
      </c>
      <c r="F97" t="s">
        <v>20</v>
      </c>
      <c r="G97" t="s">
        <v>26</v>
      </c>
      <c r="H97">
        <v>57410</v>
      </c>
      <c r="I97" t="str">
        <f>VLOOKUP(A:A,[1]기본데이터!$B:$E,4,0)</f>
        <v>멍키스패너150</v>
      </c>
      <c r="K97" t="s">
        <v>296</v>
      </c>
      <c r="L97" t="s">
        <v>21</v>
      </c>
      <c r="M97" t="s">
        <v>29</v>
      </c>
      <c r="Q97" t="s">
        <v>22</v>
      </c>
      <c r="R97" t="s">
        <v>30</v>
      </c>
      <c r="S97" t="s">
        <v>23</v>
      </c>
      <c r="T97" t="s">
        <v>36</v>
      </c>
    </row>
    <row r="98" spans="1:20" x14ac:dyDescent="0.3">
      <c r="A98" t="s">
        <v>297</v>
      </c>
      <c r="B98" s="1" t="s">
        <v>637</v>
      </c>
      <c r="C98" s="1" t="s">
        <v>694</v>
      </c>
      <c r="D98" s="1" t="s">
        <v>695</v>
      </c>
      <c r="E98" t="s">
        <v>298</v>
      </c>
      <c r="F98" t="s">
        <v>20</v>
      </c>
      <c r="G98" t="s">
        <v>26</v>
      </c>
      <c r="H98">
        <v>57411</v>
      </c>
      <c r="I98" t="str">
        <f>VLOOKUP(A:A,[1]기본데이터!$B:$E,4,0)</f>
        <v>멍키스패너200</v>
      </c>
      <c r="K98" t="s">
        <v>296</v>
      </c>
      <c r="L98" t="s">
        <v>21</v>
      </c>
      <c r="M98" t="s">
        <v>29</v>
      </c>
      <c r="Q98" t="s">
        <v>22</v>
      </c>
      <c r="R98" t="s">
        <v>30</v>
      </c>
      <c r="S98" t="s">
        <v>23</v>
      </c>
      <c r="T98" t="s">
        <v>36</v>
      </c>
    </row>
    <row r="99" spans="1:20" x14ac:dyDescent="0.3">
      <c r="A99" t="s">
        <v>299</v>
      </c>
      <c r="D99" s="1" t="s">
        <v>696</v>
      </c>
      <c r="E99" t="s">
        <v>300</v>
      </c>
      <c r="F99" t="s">
        <v>34</v>
      </c>
      <c r="G99" t="s">
        <v>26</v>
      </c>
      <c r="H99">
        <v>57412</v>
      </c>
      <c r="L99" t="s">
        <v>21</v>
      </c>
      <c r="M99" t="s">
        <v>29</v>
      </c>
      <c r="Q99" t="s">
        <v>22</v>
      </c>
      <c r="R99" t="s">
        <v>30</v>
      </c>
      <c r="S99" t="s">
        <v>23</v>
      </c>
      <c r="T99" t="s">
        <v>36</v>
      </c>
    </row>
    <row r="100" spans="1:20" x14ac:dyDescent="0.3">
      <c r="A100" t="s">
        <v>301</v>
      </c>
      <c r="B100" s="1" t="s">
        <v>637</v>
      </c>
      <c r="C100" s="1" t="s">
        <v>697</v>
      </c>
      <c r="D100" s="1" t="s">
        <v>698</v>
      </c>
      <c r="E100" t="s">
        <v>302</v>
      </c>
      <c r="F100" t="s">
        <v>20</v>
      </c>
      <c r="G100" t="s">
        <v>26</v>
      </c>
      <c r="H100">
        <v>57413</v>
      </c>
      <c r="I100" t="str">
        <f>VLOOKUP(A:A,[1]기본데이터!$B:$E,4,0)</f>
        <v>스틸목망치</v>
      </c>
      <c r="K100" t="s">
        <v>303</v>
      </c>
      <c r="L100" t="s">
        <v>21</v>
      </c>
      <c r="M100" t="s">
        <v>29</v>
      </c>
      <c r="Q100" t="s">
        <v>22</v>
      </c>
      <c r="R100" t="s">
        <v>30</v>
      </c>
      <c r="S100" t="s">
        <v>23</v>
      </c>
      <c r="T100" t="s">
        <v>36</v>
      </c>
    </row>
    <row r="101" spans="1:20" x14ac:dyDescent="0.3">
      <c r="A101" t="s">
        <v>304</v>
      </c>
      <c r="B101" s="1" t="s">
        <v>637</v>
      </c>
      <c r="C101" s="1" t="s">
        <v>699</v>
      </c>
      <c r="D101" s="1" t="s">
        <v>700</v>
      </c>
      <c r="E101" t="s">
        <v>305</v>
      </c>
      <c r="F101" t="s">
        <v>20</v>
      </c>
      <c r="G101" t="s">
        <v>26</v>
      </c>
      <c r="H101">
        <v>57414</v>
      </c>
      <c r="I101" t="str">
        <f>VLOOKUP(A:A,[1]기본데이터!$B:$E,4,0)</f>
        <v>망치(나무손잡이)</v>
      </c>
      <c r="K101" t="s">
        <v>303</v>
      </c>
      <c r="L101" t="s">
        <v>21</v>
      </c>
      <c r="M101" t="s">
        <v>29</v>
      </c>
      <c r="Q101" t="s">
        <v>22</v>
      </c>
      <c r="R101" t="s">
        <v>30</v>
      </c>
      <c r="S101" t="s">
        <v>23</v>
      </c>
      <c r="T101" t="s">
        <v>36</v>
      </c>
    </row>
    <row r="102" spans="1:20" x14ac:dyDescent="0.3">
      <c r="A102" t="s">
        <v>306</v>
      </c>
      <c r="D102" s="1" t="s">
        <v>701</v>
      </c>
      <c r="E102" t="s">
        <v>307</v>
      </c>
      <c r="F102" t="s">
        <v>34</v>
      </c>
      <c r="G102" t="s">
        <v>26</v>
      </c>
      <c r="H102">
        <v>57415</v>
      </c>
      <c r="L102" t="s">
        <v>21</v>
      </c>
      <c r="M102" t="s">
        <v>29</v>
      </c>
      <c r="Q102" t="s">
        <v>22</v>
      </c>
      <c r="R102" t="s">
        <v>30</v>
      </c>
      <c r="S102" t="s">
        <v>23</v>
      </c>
      <c r="T102" t="s">
        <v>36</v>
      </c>
    </row>
    <row r="103" spans="1:20" x14ac:dyDescent="0.3">
      <c r="A103" t="s">
        <v>308</v>
      </c>
      <c r="B103" s="1" t="s">
        <v>628</v>
      </c>
      <c r="C103" s="1" t="s">
        <v>702</v>
      </c>
      <c r="D103" s="1" t="s">
        <v>703</v>
      </c>
      <c r="E103" t="s">
        <v>309</v>
      </c>
      <c r="F103" t="s">
        <v>20</v>
      </c>
      <c r="G103" t="s">
        <v>26</v>
      </c>
      <c r="H103">
        <v>57416</v>
      </c>
      <c r="I103" t="str">
        <f>VLOOKUP(A:A,[1]기본데이터!$B:$E,4,0)</f>
        <v>고무망치-대</v>
      </c>
      <c r="K103" t="s">
        <v>310</v>
      </c>
      <c r="L103" t="s">
        <v>21</v>
      </c>
      <c r="M103" t="s">
        <v>29</v>
      </c>
      <c r="Q103" t="s">
        <v>22</v>
      </c>
      <c r="R103" t="s">
        <v>30</v>
      </c>
      <c r="S103" t="s">
        <v>23</v>
      </c>
      <c r="T103" t="s">
        <v>36</v>
      </c>
    </row>
    <row r="104" spans="1:20" x14ac:dyDescent="0.3">
      <c r="A104" t="s">
        <v>311</v>
      </c>
      <c r="D104" s="1" t="s">
        <v>507</v>
      </c>
      <c r="E104" t="s">
        <v>312</v>
      </c>
      <c r="F104" t="s">
        <v>34</v>
      </c>
      <c r="G104" t="s">
        <v>26</v>
      </c>
      <c r="L104" t="s">
        <v>21</v>
      </c>
      <c r="M104" t="s">
        <v>29</v>
      </c>
      <c r="Q104" t="s">
        <v>22</v>
      </c>
      <c r="R104" t="s">
        <v>30</v>
      </c>
      <c r="S104" t="s">
        <v>23</v>
      </c>
      <c r="T104" t="s">
        <v>36</v>
      </c>
    </row>
    <row r="105" spans="1:20" x14ac:dyDescent="0.3">
      <c r="A105" t="s">
        <v>313</v>
      </c>
      <c r="B105" s="1" t="s">
        <v>546</v>
      </c>
      <c r="C105" s="1" t="s">
        <v>704</v>
      </c>
      <c r="D105" s="1" t="s">
        <v>705</v>
      </c>
      <c r="E105" t="s">
        <v>314</v>
      </c>
      <c r="F105" t="s">
        <v>20</v>
      </c>
      <c r="G105" t="s">
        <v>26</v>
      </c>
      <c r="H105">
        <v>57418</v>
      </c>
      <c r="I105" t="str">
        <f>VLOOKUP(A:A,[1]기본데이터!$B:$E,4,0)</f>
        <v>스텐스크래퍼35</v>
      </c>
      <c r="K105" t="s">
        <v>315</v>
      </c>
      <c r="L105" t="s">
        <v>21</v>
      </c>
      <c r="M105" t="s">
        <v>29</v>
      </c>
      <c r="Q105" t="s">
        <v>22</v>
      </c>
      <c r="R105" t="s">
        <v>30</v>
      </c>
      <c r="S105" t="s">
        <v>23</v>
      </c>
      <c r="T105" t="s">
        <v>36</v>
      </c>
    </row>
    <row r="106" spans="1:20" x14ac:dyDescent="0.3">
      <c r="A106" t="s">
        <v>316</v>
      </c>
      <c r="B106" s="1" t="s">
        <v>546</v>
      </c>
      <c r="C106" s="1" t="s">
        <v>706</v>
      </c>
      <c r="D106" s="1" t="s">
        <v>707</v>
      </c>
      <c r="E106" t="s">
        <v>317</v>
      </c>
      <c r="F106" t="s">
        <v>20</v>
      </c>
      <c r="G106" t="s">
        <v>26</v>
      </c>
      <c r="H106">
        <v>57419</v>
      </c>
      <c r="I106" t="str">
        <f>VLOOKUP(A:A,[1]기본데이터!$B:$E,4,0)</f>
        <v>스텐스크래퍼50</v>
      </c>
      <c r="K106" t="s">
        <v>315</v>
      </c>
      <c r="L106" t="s">
        <v>21</v>
      </c>
      <c r="M106" t="s">
        <v>29</v>
      </c>
      <c r="Q106" t="s">
        <v>22</v>
      </c>
      <c r="R106" t="s">
        <v>30</v>
      </c>
      <c r="S106" t="s">
        <v>23</v>
      </c>
      <c r="T106" t="s">
        <v>36</v>
      </c>
    </row>
    <row r="107" spans="1:20" x14ac:dyDescent="0.3">
      <c r="A107" t="s">
        <v>318</v>
      </c>
      <c r="B107" s="1" t="s">
        <v>628</v>
      </c>
      <c r="C107" s="1" t="s">
        <v>708</v>
      </c>
      <c r="D107" s="1" t="s">
        <v>709</v>
      </c>
      <c r="E107" t="s">
        <v>319</v>
      </c>
      <c r="F107" t="s">
        <v>20</v>
      </c>
      <c r="G107" t="s">
        <v>26</v>
      </c>
      <c r="H107">
        <v>57420</v>
      </c>
      <c r="I107" t="str">
        <f>VLOOKUP(A:A,[1]기본데이터!$B:$E,4,0)</f>
        <v>스텐스크래퍼75</v>
      </c>
      <c r="K107" t="s">
        <v>315</v>
      </c>
      <c r="L107" t="s">
        <v>21</v>
      </c>
      <c r="M107" t="s">
        <v>29</v>
      </c>
      <c r="Q107" t="s">
        <v>22</v>
      </c>
      <c r="R107" t="s">
        <v>30</v>
      </c>
      <c r="S107" t="s">
        <v>23</v>
      </c>
      <c r="T107" t="s">
        <v>36</v>
      </c>
    </row>
    <row r="108" spans="1:20" x14ac:dyDescent="0.3">
      <c r="A108" t="s">
        <v>320</v>
      </c>
      <c r="B108" s="1" t="s">
        <v>628</v>
      </c>
      <c r="C108" s="1" t="s">
        <v>710</v>
      </c>
      <c r="D108" s="1" t="s">
        <v>711</v>
      </c>
      <c r="E108" t="s">
        <v>321</v>
      </c>
      <c r="F108" t="s">
        <v>20</v>
      </c>
      <c r="G108" t="s">
        <v>26</v>
      </c>
      <c r="H108">
        <v>57421</v>
      </c>
      <c r="I108" t="str">
        <f>VLOOKUP(A:A,[1]기본데이터!$B:$E,4,0)</f>
        <v>스텐스크래퍼100</v>
      </c>
      <c r="K108" t="s">
        <v>315</v>
      </c>
      <c r="L108" t="s">
        <v>21</v>
      </c>
      <c r="M108" t="s">
        <v>29</v>
      </c>
      <c r="Q108" t="s">
        <v>22</v>
      </c>
      <c r="R108" t="s">
        <v>30</v>
      </c>
      <c r="S108" t="s">
        <v>23</v>
      </c>
      <c r="T108" t="s">
        <v>36</v>
      </c>
    </row>
    <row r="109" spans="1:20" x14ac:dyDescent="0.3">
      <c r="A109" t="s">
        <v>322</v>
      </c>
      <c r="B109" s="1" t="s">
        <v>546</v>
      </c>
      <c r="C109" s="1" t="s">
        <v>712</v>
      </c>
      <c r="D109" s="1" t="s">
        <v>713</v>
      </c>
      <c r="E109" t="s">
        <v>323</v>
      </c>
      <c r="F109" t="s">
        <v>20</v>
      </c>
      <c r="G109" t="s">
        <v>26</v>
      </c>
      <c r="H109">
        <v>57422</v>
      </c>
      <c r="I109" t="str">
        <f>VLOOKUP(A:A,[1]기본데이터!$B:$E,4,0)</f>
        <v>케이블타이(100 mm)(200PCS)</v>
      </c>
      <c r="K109" t="s">
        <v>324</v>
      </c>
      <c r="L109" t="s">
        <v>21</v>
      </c>
      <c r="M109" t="s">
        <v>29</v>
      </c>
      <c r="Q109" t="s">
        <v>22</v>
      </c>
      <c r="R109" t="s">
        <v>30</v>
      </c>
      <c r="S109" t="s">
        <v>23</v>
      </c>
      <c r="T109" t="s">
        <v>36</v>
      </c>
    </row>
    <row r="110" spans="1:20" x14ac:dyDescent="0.3">
      <c r="A110" t="s">
        <v>325</v>
      </c>
      <c r="B110" s="1" t="s">
        <v>546</v>
      </c>
      <c r="C110" s="1" t="s">
        <v>714</v>
      </c>
      <c r="D110" s="1" t="s">
        <v>715</v>
      </c>
      <c r="E110" t="s">
        <v>326</v>
      </c>
      <c r="F110" t="s">
        <v>20</v>
      </c>
      <c r="G110" t="s">
        <v>26</v>
      </c>
      <c r="H110">
        <v>57423</v>
      </c>
      <c r="I110" t="str">
        <f>VLOOKUP(A:A,[1]기본데이터!$B:$E,4,0)</f>
        <v>케이블타이(150 mm)(150PCS)</v>
      </c>
      <c r="K110" t="s">
        <v>324</v>
      </c>
      <c r="L110" t="s">
        <v>21</v>
      </c>
      <c r="M110" t="s">
        <v>29</v>
      </c>
      <c r="Q110" t="s">
        <v>22</v>
      </c>
      <c r="R110" t="s">
        <v>30</v>
      </c>
      <c r="S110" t="s">
        <v>23</v>
      </c>
      <c r="T110" t="s">
        <v>36</v>
      </c>
    </row>
    <row r="111" spans="1:20" x14ac:dyDescent="0.3">
      <c r="A111" t="s">
        <v>327</v>
      </c>
      <c r="B111" s="1" t="s">
        <v>546</v>
      </c>
      <c r="C111" s="1" t="s">
        <v>716</v>
      </c>
      <c r="D111" s="1" t="s">
        <v>717</v>
      </c>
      <c r="E111" t="s">
        <v>328</v>
      </c>
      <c r="F111" t="s">
        <v>20</v>
      </c>
      <c r="G111" t="s">
        <v>26</v>
      </c>
      <c r="H111">
        <v>57424</v>
      </c>
      <c r="I111" t="str">
        <f>VLOOKUP(A:A,[1]기본데이터!$B:$E,4,0)</f>
        <v>케이블타이(200 mm)(50PCS)</v>
      </c>
      <c r="K111" t="s">
        <v>324</v>
      </c>
      <c r="L111" t="s">
        <v>21</v>
      </c>
      <c r="M111" t="s">
        <v>29</v>
      </c>
      <c r="Q111" t="s">
        <v>22</v>
      </c>
      <c r="R111" t="s">
        <v>30</v>
      </c>
      <c r="S111" t="s">
        <v>23</v>
      </c>
      <c r="T111" t="s">
        <v>36</v>
      </c>
    </row>
    <row r="112" spans="1:20" x14ac:dyDescent="0.3">
      <c r="A112" t="s">
        <v>329</v>
      </c>
      <c r="D112" s="1" t="s">
        <v>718</v>
      </c>
      <c r="E112" t="s">
        <v>330</v>
      </c>
      <c r="F112" t="s">
        <v>34</v>
      </c>
      <c r="G112" t="s">
        <v>26</v>
      </c>
      <c r="H112">
        <v>57425</v>
      </c>
      <c r="K112" t="s">
        <v>331</v>
      </c>
      <c r="L112" t="s">
        <v>21</v>
      </c>
      <c r="M112" t="s">
        <v>29</v>
      </c>
      <c r="Q112" t="s">
        <v>22</v>
      </c>
      <c r="R112" t="s">
        <v>30</v>
      </c>
      <c r="S112" t="s">
        <v>23</v>
      </c>
      <c r="T112" t="s">
        <v>36</v>
      </c>
    </row>
    <row r="113" spans="1:20" x14ac:dyDescent="0.3">
      <c r="A113" t="s">
        <v>332</v>
      </c>
      <c r="D113" s="1" t="s">
        <v>719</v>
      </c>
      <c r="E113" t="s">
        <v>333</v>
      </c>
      <c r="F113" t="s">
        <v>34</v>
      </c>
      <c r="G113" t="s">
        <v>26</v>
      </c>
      <c r="H113">
        <v>57426</v>
      </c>
      <c r="L113" t="s">
        <v>21</v>
      </c>
      <c r="M113" t="s">
        <v>29</v>
      </c>
      <c r="Q113" t="s">
        <v>22</v>
      </c>
      <c r="R113" t="s">
        <v>30</v>
      </c>
      <c r="S113" t="s">
        <v>23</v>
      </c>
      <c r="T113" t="s">
        <v>36</v>
      </c>
    </row>
    <row r="114" spans="1:20" x14ac:dyDescent="0.3">
      <c r="A114" t="s">
        <v>334</v>
      </c>
      <c r="D114" s="1" t="s">
        <v>720</v>
      </c>
      <c r="E114" t="s">
        <v>335</v>
      </c>
      <c r="F114" t="s">
        <v>34</v>
      </c>
      <c r="G114" t="s">
        <v>26</v>
      </c>
      <c r="H114">
        <v>57427</v>
      </c>
      <c r="K114" t="s">
        <v>331</v>
      </c>
      <c r="L114" t="s">
        <v>21</v>
      </c>
      <c r="M114" t="s">
        <v>29</v>
      </c>
      <c r="Q114" t="s">
        <v>22</v>
      </c>
      <c r="R114" t="s">
        <v>30</v>
      </c>
      <c r="S114" t="s">
        <v>23</v>
      </c>
      <c r="T114" t="s">
        <v>36</v>
      </c>
    </row>
    <row r="115" spans="1:20" x14ac:dyDescent="0.3">
      <c r="A115" t="s">
        <v>336</v>
      </c>
      <c r="D115" s="1" t="s">
        <v>721</v>
      </c>
      <c r="E115" t="s">
        <v>337</v>
      </c>
      <c r="F115" t="s">
        <v>34</v>
      </c>
      <c r="G115" t="s">
        <v>26</v>
      </c>
      <c r="H115">
        <v>57428</v>
      </c>
      <c r="K115" t="s">
        <v>338</v>
      </c>
      <c r="L115" t="s">
        <v>21</v>
      </c>
      <c r="M115" t="s">
        <v>29</v>
      </c>
      <c r="Q115" t="s">
        <v>22</v>
      </c>
      <c r="R115" t="s">
        <v>30</v>
      </c>
      <c r="S115" t="s">
        <v>23</v>
      </c>
      <c r="T115" t="s">
        <v>36</v>
      </c>
    </row>
    <row r="116" spans="1:20" x14ac:dyDescent="0.3">
      <c r="A116" t="s">
        <v>339</v>
      </c>
      <c r="B116" s="1" t="s">
        <v>722</v>
      </c>
      <c r="C116" s="1" t="s">
        <v>723</v>
      </c>
      <c r="D116" s="1" t="s">
        <v>724</v>
      </c>
      <c r="E116" t="s">
        <v>340</v>
      </c>
      <c r="F116" t="s">
        <v>20</v>
      </c>
      <c r="G116" t="s">
        <v>26</v>
      </c>
      <c r="H116">
        <v>57429</v>
      </c>
      <c r="I116" t="str">
        <f>VLOOKUP(A:A,[1]기본데이터!$B:$E,4,0)</f>
        <v>파워스틸건타카(심100PCS포함)</v>
      </c>
      <c r="K116" t="s">
        <v>338</v>
      </c>
      <c r="L116" t="s">
        <v>21</v>
      </c>
      <c r="M116" t="s">
        <v>29</v>
      </c>
      <c r="Q116" t="s">
        <v>22</v>
      </c>
      <c r="R116" t="s">
        <v>30</v>
      </c>
      <c r="S116" t="s">
        <v>23</v>
      </c>
      <c r="T116" t="s">
        <v>36</v>
      </c>
    </row>
    <row r="117" spans="1:20" x14ac:dyDescent="0.3">
      <c r="A117" t="s">
        <v>341</v>
      </c>
      <c r="B117" s="1" t="s">
        <v>546</v>
      </c>
      <c r="C117" s="1" t="s">
        <v>725</v>
      </c>
      <c r="D117" s="1" t="s">
        <v>726</v>
      </c>
      <c r="E117" t="s">
        <v>342</v>
      </c>
      <c r="F117" t="s">
        <v>20</v>
      </c>
      <c r="G117" t="s">
        <v>26</v>
      </c>
      <c r="H117">
        <v>57430</v>
      </c>
      <c r="I117" t="str">
        <f>VLOOKUP(A:A,[1]기본데이터!$B:$E,4,0)</f>
        <v>타카심2000PCS(6 mm)</v>
      </c>
      <c r="K117" t="s">
        <v>338</v>
      </c>
      <c r="L117" t="s">
        <v>21</v>
      </c>
      <c r="M117" t="s">
        <v>29</v>
      </c>
      <c r="Q117" t="s">
        <v>22</v>
      </c>
      <c r="R117" t="s">
        <v>30</v>
      </c>
      <c r="S117" t="s">
        <v>23</v>
      </c>
      <c r="T117" t="s">
        <v>36</v>
      </c>
    </row>
    <row r="118" spans="1:20" x14ac:dyDescent="0.3">
      <c r="A118" t="s">
        <v>343</v>
      </c>
      <c r="B118" s="1" t="s">
        <v>722</v>
      </c>
      <c r="C118" s="1" t="s">
        <v>727</v>
      </c>
      <c r="D118" s="1" t="s">
        <v>728</v>
      </c>
      <c r="E118" t="s">
        <v>344</v>
      </c>
      <c r="F118" t="s">
        <v>20</v>
      </c>
      <c r="G118" t="s">
        <v>26</v>
      </c>
      <c r="H118">
        <v>57431</v>
      </c>
      <c r="I118" t="str">
        <f>VLOOKUP(A:A,[1]기본데이터!$B:$E,4,0)</f>
        <v>글루건40W(대)</v>
      </c>
      <c r="K118" t="s">
        <v>212</v>
      </c>
      <c r="L118" t="s">
        <v>21</v>
      </c>
      <c r="M118" t="s">
        <v>29</v>
      </c>
      <c r="Q118" t="s">
        <v>22</v>
      </c>
      <c r="R118" t="s">
        <v>30</v>
      </c>
      <c r="S118" t="s">
        <v>23</v>
      </c>
      <c r="T118" t="s">
        <v>36</v>
      </c>
    </row>
    <row r="119" spans="1:20" x14ac:dyDescent="0.3">
      <c r="A119" t="s">
        <v>345</v>
      </c>
      <c r="B119" s="1" t="s">
        <v>546</v>
      </c>
      <c r="C119" s="1" t="s">
        <v>729</v>
      </c>
      <c r="D119" s="1" t="s">
        <v>730</v>
      </c>
      <c r="E119" t="s">
        <v>346</v>
      </c>
      <c r="F119" t="s">
        <v>20</v>
      </c>
      <c r="G119" t="s">
        <v>26</v>
      </c>
      <c r="H119">
        <v>57432</v>
      </c>
      <c r="I119" t="str">
        <f>VLOOKUP(A:A,[1]기본데이터!$B:$E,4,0)</f>
        <v>글루건심(대)</v>
      </c>
      <c r="J119" t="s">
        <v>347</v>
      </c>
      <c r="K119" t="s">
        <v>66</v>
      </c>
      <c r="Q119" t="s">
        <v>22</v>
      </c>
      <c r="R119" t="s">
        <v>30</v>
      </c>
      <c r="S119" t="s">
        <v>216</v>
      </c>
      <c r="T119" t="s">
        <v>36</v>
      </c>
    </row>
    <row r="120" spans="1:20" x14ac:dyDescent="0.3">
      <c r="A120" t="s">
        <v>348</v>
      </c>
      <c r="B120" s="1" t="s">
        <v>628</v>
      </c>
      <c r="C120" s="1" t="s">
        <v>731</v>
      </c>
      <c r="D120" s="1" t="s">
        <v>732</v>
      </c>
      <c r="E120" t="s">
        <v>349</v>
      </c>
      <c r="F120" t="s">
        <v>20</v>
      </c>
      <c r="G120" t="s">
        <v>26</v>
      </c>
      <c r="H120">
        <v>57433</v>
      </c>
      <c r="I120" t="str">
        <f>VLOOKUP(A:A,[1]기본데이터!$B:$E,4,0)</f>
        <v>실리콘건</v>
      </c>
      <c r="K120" t="s">
        <v>350</v>
      </c>
      <c r="Q120" t="s">
        <v>22</v>
      </c>
      <c r="R120" t="s">
        <v>30</v>
      </c>
      <c r="S120" t="s">
        <v>216</v>
      </c>
      <c r="T120" t="s">
        <v>36</v>
      </c>
    </row>
    <row r="121" spans="1:20" x14ac:dyDescent="0.3">
      <c r="A121" t="s">
        <v>351</v>
      </c>
      <c r="D121" s="1" t="s">
        <v>733</v>
      </c>
      <c r="E121" t="s">
        <v>352</v>
      </c>
      <c r="F121" t="s">
        <v>34</v>
      </c>
      <c r="G121" t="s">
        <v>26</v>
      </c>
      <c r="H121">
        <v>57434</v>
      </c>
      <c r="K121" t="s">
        <v>109</v>
      </c>
      <c r="L121" t="s">
        <v>76</v>
      </c>
      <c r="M121" t="s">
        <v>77</v>
      </c>
      <c r="N121" t="s">
        <v>78</v>
      </c>
      <c r="Q121" t="s">
        <v>22</v>
      </c>
      <c r="R121" t="s">
        <v>30</v>
      </c>
      <c r="S121" t="s">
        <v>23</v>
      </c>
      <c r="T121" t="s">
        <v>102</v>
      </c>
    </row>
    <row r="122" spans="1:20" x14ac:dyDescent="0.3">
      <c r="A122" t="s">
        <v>353</v>
      </c>
      <c r="D122" s="1" t="s">
        <v>734</v>
      </c>
      <c r="E122" t="s">
        <v>354</v>
      </c>
      <c r="F122" t="s">
        <v>34</v>
      </c>
      <c r="G122" t="s">
        <v>26</v>
      </c>
      <c r="H122">
        <v>57435</v>
      </c>
      <c r="K122" t="s">
        <v>109</v>
      </c>
      <c r="L122" t="s">
        <v>76</v>
      </c>
      <c r="M122" t="s">
        <v>77</v>
      </c>
      <c r="N122" t="s">
        <v>78</v>
      </c>
      <c r="Q122" t="s">
        <v>22</v>
      </c>
      <c r="R122" t="s">
        <v>30</v>
      </c>
      <c r="S122" t="s">
        <v>23</v>
      </c>
      <c r="T122" t="s">
        <v>102</v>
      </c>
    </row>
    <row r="123" spans="1:20" x14ac:dyDescent="0.3">
      <c r="A123" t="s">
        <v>355</v>
      </c>
      <c r="D123" s="1" t="s">
        <v>735</v>
      </c>
      <c r="E123" t="s">
        <v>356</v>
      </c>
      <c r="F123" t="s">
        <v>34</v>
      </c>
      <c r="G123" t="s">
        <v>26</v>
      </c>
      <c r="H123">
        <v>57436</v>
      </c>
      <c r="K123" t="s">
        <v>109</v>
      </c>
      <c r="L123" t="s">
        <v>76</v>
      </c>
      <c r="M123" t="s">
        <v>77</v>
      </c>
      <c r="N123" t="s">
        <v>78</v>
      </c>
      <c r="Q123" t="s">
        <v>22</v>
      </c>
      <c r="R123" t="s">
        <v>30</v>
      </c>
      <c r="S123" t="s">
        <v>23</v>
      </c>
      <c r="T123" t="s">
        <v>102</v>
      </c>
    </row>
    <row r="124" spans="1:20" x14ac:dyDescent="0.3">
      <c r="A124" t="s">
        <v>357</v>
      </c>
      <c r="B124" s="1" t="s">
        <v>637</v>
      </c>
      <c r="C124" s="1" t="s">
        <v>736</v>
      </c>
      <c r="D124" s="1" t="s">
        <v>737</v>
      </c>
      <c r="E124" t="s">
        <v>358</v>
      </c>
      <c r="F124" t="s">
        <v>20</v>
      </c>
      <c r="G124" t="s">
        <v>26</v>
      </c>
      <c r="H124">
        <v>57451</v>
      </c>
      <c r="I124" t="str">
        <f>VLOOKUP(A:A,[1]기본데이터!$B:$E,4,0)</f>
        <v>점멸등모형감시카메라</v>
      </c>
      <c r="K124" t="s">
        <v>359</v>
      </c>
      <c r="L124" t="s">
        <v>21</v>
      </c>
      <c r="M124" t="s">
        <v>29</v>
      </c>
      <c r="Q124" t="s">
        <v>22</v>
      </c>
      <c r="R124" t="s">
        <v>30</v>
      </c>
      <c r="S124" t="s">
        <v>23</v>
      </c>
      <c r="T124" t="s">
        <v>36</v>
      </c>
    </row>
    <row r="125" spans="1:20" x14ac:dyDescent="0.3">
      <c r="A125" t="s">
        <v>360</v>
      </c>
      <c r="D125" s="1" t="s">
        <v>738</v>
      </c>
      <c r="E125" t="s">
        <v>361</v>
      </c>
      <c r="F125" t="s">
        <v>34</v>
      </c>
      <c r="G125" t="s">
        <v>26</v>
      </c>
      <c r="H125">
        <v>57453</v>
      </c>
      <c r="L125" t="s">
        <v>21</v>
      </c>
      <c r="M125" t="s">
        <v>29</v>
      </c>
      <c r="Q125" t="s">
        <v>22</v>
      </c>
      <c r="R125" t="s">
        <v>30</v>
      </c>
      <c r="S125" t="s">
        <v>23</v>
      </c>
      <c r="T125" t="s">
        <v>50</v>
      </c>
    </row>
    <row r="126" spans="1:20" x14ac:dyDescent="0.3">
      <c r="A126" t="s">
        <v>362</v>
      </c>
      <c r="B126" s="1" t="s">
        <v>628</v>
      </c>
      <c r="C126" s="1" t="s">
        <v>739</v>
      </c>
      <c r="D126" s="1" t="s">
        <v>740</v>
      </c>
      <c r="E126" t="s">
        <v>363</v>
      </c>
      <c r="F126" t="s">
        <v>20</v>
      </c>
      <c r="G126" t="s">
        <v>26</v>
      </c>
      <c r="H126">
        <v>57454</v>
      </c>
      <c r="I126" t="str">
        <f>VLOOKUP(A:A,[1]기본데이터!$B:$E,4,0)</f>
        <v>TPR샤워헤드(실버)</v>
      </c>
      <c r="K126" t="s">
        <v>62</v>
      </c>
      <c r="L126" t="s">
        <v>21</v>
      </c>
      <c r="M126" t="s">
        <v>29</v>
      </c>
      <c r="Q126" t="s">
        <v>22</v>
      </c>
      <c r="R126" t="s">
        <v>30</v>
      </c>
      <c r="S126" t="s">
        <v>23</v>
      </c>
      <c r="T126" t="s">
        <v>50</v>
      </c>
    </row>
    <row r="127" spans="1:20" x14ac:dyDescent="0.3">
      <c r="A127" t="s">
        <v>364</v>
      </c>
      <c r="D127" s="1" t="s">
        <v>741</v>
      </c>
      <c r="E127" t="s">
        <v>365</v>
      </c>
      <c r="F127" t="s">
        <v>34</v>
      </c>
      <c r="G127" t="s">
        <v>26</v>
      </c>
      <c r="H127">
        <v>57456</v>
      </c>
      <c r="L127" t="s">
        <v>21</v>
      </c>
      <c r="M127" t="s">
        <v>29</v>
      </c>
      <c r="Q127" t="s">
        <v>22</v>
      </c>
      <c r="R127" t="s">
        <v>30</v>
      </c>
      <c r="S127" t="s">
        <v>23</v>
      </c>
      <c r="T127" t="s">
        <v>50</v>
      </c>
    </row>
    <row r="128" spans="1:20" x14ac:dyDescent="0.3">
      <c r="A128" t="s">
        <v>366</v>
      </c>
      <c r="D128" s="1" t="s">
        <v>742</v>
      </c>
      <c r="E128" t="s">
        <v>367</v>
      </c>
      <c r="F128" t="s">
        <v>34</v>
      </c>
      <c r="G128" t="s">
        <v>26</v>
      </c>
      <c r="H128">
        <v>57457</v>
      </c>
      <c r="L128" t="s">
        <v>21</v>
      </c>
      <c r="M128" t="s">
        <v>29</v>
      </c>
      <c r="Q128" t="s">
        <v>22</v>
      </c>
      <c r="R128" t="s">
        <v>30</v>
      </c>
      <c r="S128" t="s">
        <v>23</v>
      </c>
      <c r="T128" t="s">
        <v>50</v>
      </c>
    </row>
    <row r="129" spans="1:20" x14ac:dyDescent="0.3">
      <c r="A129" t="s">
        <v>368</v>
      </c>
      <c r="D129" s="1" t="s">
        <v>743</v>
      </c>
      <c r="E129" t="s">
        <v>369</v>
      </c>
      <c r="F129" t="s">
        <v>34</v>
      </c>
      <c r="G129" t="s">
        <v>26</v>
      </c>
      <c r="H129">
        <v>57458</v>
      </c>
      <c r="K129" t="s">
        <v>57</v>
      </c>
      <c r="L129" t="s">
        <v>21</v>
      </c>
      <c r="M129" t="s">
        <v>29</v>
      </c>
      <c r="Q129" t="s">
        <v>22</v>
      </c>
      <c r="R129" t="s">
        <v>30</v>
      </c>
      <c r="S129" t="s">
        <v>23</v>
      </c>
      <c r="T129" t="s">
        <v>50</v>
      </c>
    </row>
    <row r="130" spans="1:20" x14ac:dyDescent="0.3">
      <c r="A130" t="s">
        <v>370</v>
      </c>
      <c r="B130" s="1" t="s">
        <v>637</v>
      </c>
      <c r="C130" s="1" t="s">
        <v>744</v>
      </c>
      <c r="D130" s="1" t="s">
        <v>745</v>
      </c>
      <c r="E130" t="s">
        <v>371</v>
      </c>
      <c r="F130" t="s">
        <v>20</v>
      </c>
      <c r="G130" t="s">
        <v>26</v>
      </c>
      <c r="H130">
        <v>57459</v>
      </c>
      <c r="I130" t="str">
        <f>VLOOKUP(A:A,[1]기본데이터!$B:$E,4,0)</f>
        <v>3기능샤워헤드(실버)</v>
      </c>
      <c r="K130" t="s">
        <v>372</v>
      </c>
      <c r="L130" t="s">
        <v>21</v>
      </c>
      <c r="M130" t="s">
        <v>29</v>
      </c>
      <c r="Q130" t="s">
        <v>22</v>
      </c>
      <c r="R130" t="s">
        <v>30</v>
      </c>
      <c r="S130" t="s">
        <v>23</v>
      </c>
      <c r="T130" t="s">
        <v>50</v>
      </c>
    </row>
    <row r="131" spans="1:20" x14ac:dyDescent="0.3">
      <c r="A131" t="s">
        <v>373</v>
      </c>
      <c r="D131" s="1" t="s">
        <v>746</v>
      </c>
      <c r="E131" t="s">
        <v>374</v>
      </c>
      <c r="F131" t="s">
        <v>34</v>
      </c>
      <c r="G131" t="s">
        <v>26</v>
      </c>
      <c r="H131">
        <v>57461</v>
      </c>
      <c r="K131" t="s">
        <v>372</v>
      </c>
      <c r="L131" t="s">
        <v>21</v>
      </c>
      <c r="M131" t="s">
        <v>29</v>
      </c>
      <c r="Q131" t="s">
        <v>22</v>
      </c>
      <c r="R131" t="s">
        <v>30</v>
      </c>
      <c r="S131" t="s">
        <v>23</v>
      </c>
      <c r="T131" t="s">
        <v>50</v>
      </c>
    </row>
    <row r="132" spans="1:20" x14ac:dyDescent="0.3">
      <c r="A132" t="s">
        <v>375</v>
      </c>
      <c r="D132" s="1" t="s">
        <v>747</v>
      </c>
      <c r="E132" t="s">
        <v>376</v>
      </c>
      <c r="F132" t="s">
        <v>34</v>
      </c>
      <c r="G132" t="s">
        <v>26</v>
      </c>
      <c r="H132">
        <v>57462</v>
      </c>
      <c r="K132" t="s">
        <v>62</v>
      </c>
      <c r="L132" t="s">
        <v>21</v>
      </c>
      <c r="M132" t="s">
        <v>29</v>
      </c>
      <c r="Q132" t="s">
        <v>22</v>
      </c>
      <c r="R132" t="s">
        <v>30</v>
      </c>
      <c r="S132" t="s">
        <v>23</v>
      </c>
      <c r="T132" t="s">
        <v>50</v>
      </c>
    </row>
    <row r="133" spans="1:20" x14ac:dyDescent="0.3">
      <c r="A133" t="s">
        <v>377</v>
      </c>
      <c r="D133" s="1" t="s">
        <v>748</v>
      </c>
      <c r="E133" t="s">
        <v>378</v>
      </c>
      <c r="F133" t="s">
        <v>34</v>
      </c>
      <c r="G133" t="s">
        <v>26</v>
      </c>
      <c r="H133">
        <v>57464</v>
      </c>
      <c r="K133" t="s">
        <v>57</v>
      </c>
      <c r="L133" t="s">
        <v>21</v>
      </c>
      <c r="M133" t="s">
        <v>29</v>
      </c>
      <c r="Q133" t="s">
        <v>22</v>
      </c>
      <c r="R133" t="s">
        <v>30</v>
      </c>
      <c r="S133" t="s">
        <v>23</v>
      </c>
      <c r="T133" t="s">
        <v>50</v>
      </c>
    </row>
    <row r="134" spans="1:20" x14ac:dyDescent="0.3">
      <c r="A134" t="s">
        <v>379</v>
      </c>
      <c r="D134" s="1" t="s">
        <v>749</v>
      </c>
      <c r="E134" t="s">
        <v>380</v>
      </c>
      <c r="F134" t="s">
        <v>34</v>
      </c>
      <c r="G134" t="s">
        <v>26</v>
      </c>
      <c r="H134">
        <v>57465</v>
      </c>
      <c r="L134" t="s">
        <v>21</v>
      </c>
      <c r="M134" t="s">
        <v>29</v>
      </c>
      <c r="Q134" t="s">
        <v>22</v>
      </c>
      <c r="R134" t="s">
        <v>30</v>
      </c>
      <c r="S134" t="s">
        <v>23</v>
      </c>
      <c r="T134" t="s">
        <v>50</v>
      </c>
    </row>
    <row r="135" spans="1:20" x14ac:dyDescent="0.3">
      <c r="A135" t="s">
        <v>381</v>
      </c>
      <c r="E135" t="s">
        <v>382</v>
      </c>
      <c r="F135" t="s">
        <v>34</v>
      </c>
      <c r="G135" t="s">
        <v>26</v>
      </c>
      <c r="I135" t="str">
        <f>VLOOKUP(A:A,[1]기본데이터!$B:$E,4,0)</f>
        <v>고급3기능샤워헤드(실버)</v>
      </c>
      <c r="Q135" t="s">
        <v>22</v>
      </c>
      <c r="R135" t="s">
        <v>30</v>
      </c>
      <c r="S135" t="s">
        <v>23</v>
      </c>
      <c r="T135" t="s">
        <v>50</v>
      </c>
    </row>
    <row r="136" spans="1:20" x14ac:dyDescent="0.3">
      <c r="A136" t="s">
        <v>383</v>
      </c>
      <c r="B136" s="1" t="s">
        <v>722</v>
      </c>
      <c r="C136" s="1" t="s">
        <v>750</v>
      </c>
      <c r="D136" s="1" t="s">
        <v>751</v>
      </c>
      <c r="E136" t="s">
        <v>384</v>
      </c>
      <c r="F136" t="s">
        <v>20</v>
      </c>
      <c r="G136" t="s">
        <v>26</v>
      </c>
      <c r="H136">
        <v>57466</v>
      </c>
      <c r="I136" t="str">
        <f>VLOOKUP(A:A,[1]기본데이터!$B:$E,4,0)</f>
        <v>고급3기능샤워헤드(실버)</v>
      </c>
      <c r="K136" t="s">
        <v>57</v>
      </c>
      <c r="L136" t="s">
        <v>21</v>
      </c>
      <c r="M136" t="s">
        <v>29</v>
      </c>
      <c r="Q136" t="s">
        <v>22</v>
      </c>
      <c r="R136" t="s">
        <v>30</v>
      </c>
      <c r="S136" t="s">
        <v>23</v>
      </c>
      <c r="T136" t="s">
        <v>50</v>
      </c>
    </row>
    <row r="137" spans="1:20" x14ac:dyDescent="0.3">
      <c r="A137" t="s">
        <v>385</v>
      </c>
      <c r="B137" s="1" t="s">
        <v>722</v>
      </c>
      <c r="C137" s="1" t="s">
        <v>752</v>
      </c>
      <c r="D137" s="1" t="s">
        <v>753</v>
      </c>
      <c r="E137" t="s">
        <v>386</v>
      </c>
      <c r="F137" t="s">
        <v>20</v>
      </c>
      <c r="G137" t="s">
        <v>26</v>
      </c>
      <c r="H137">
        <v>57467</v>
      </c>
      <c r="I137" t="str">
        <f>VLOOKUP(A:A,[1]기본데이터!$B:$E,4,0)</f>
        <v>레이저샤워헤드(블랙)</v>
      </c>
      <c r="K137" t="s">
        <v>372</v>
      </c>
      <c r="L137" t="s">
        <v>21</v>
      </c>
      <c r="M137" t="s">
        <v>29</v>
      </c>
      <c r="Q137" t="s">
        <v>22</v>
      </c>
      <c r="R137" t="s">
        <v>30</v>
      </c>
      <c r="S137" t="s">
        <v>216</v>
      </c>
      <c r="T137" t="s">
        <v>50</v>
      </c>
    </row>
    <row r="138" spans="1:20" x14ac:dyDescent="0.3">
      <c r="A138" t="s">
        <v>387</v>
      </c>
      <c r="B138" s="1" t="s">
        <v>722</v>
      </c>
      <c r="C138" s="1" t="s">
        <v>754</v>
      </c>
      <c r="D138" s="1" t="s">
        <v>755</v>
      </c>
      <c r="E138" t="s">
        <v>388</v>
      </c>
      <c r="F138" t="s">
        <v>20</v>
      </c>
      <c r="G138" t="s">
        <v>26</v>
      </c>
      <c r="H138">
        <v>57469</v>
      </c>
      <c r="I138" t="str">
        <f>VLOOKUP(A:A,[1]기본데이터!$B:$E,4,0)</f>
        <v>3기능 레이져샤워헤드(실버)</v>
      </c>
      <c r="K138" t="s">
        <v>372</v>
      </c>
      <c r="L138" t="s">
        <v>21</v>
      </c>
      <c r="M138" t="s">
        <v>29</v>
      </c>
      <c r="Q138" t="s">
        <v>22</v>
      </c>
      <c r="R138" t="s">
        <v>30</v>
      </c>
      <c r="S138" t="s">
        <v>23</v>
      </c>
      <c r="T138" t="s">
        <v>50</v>
      </c>
    </row>
    <row r="139" spans="1:20" x14ac:dyDescent="0.3">
      <c r="A139" t="s">
        <v>389</v>
      </c>
      <c r="B139" s="1" t="s">
        <v>722</v>
      </c>
      <c r="C139" s="1" t="s">
        <v>756</v>
      </c>
      <c r="D139" s="1" t="s">
        <v>757</v>
      </c>
      <c r="E139" t="s">
        <v>390</v>
      </c>
      <c r="F139" t="s">
        <v>20</v>
      </c>
      <c r="G139" t="s">
        <v>26</v>
      </c>
      <c r="H139">
        <v>57470</v>
      </c>
      <c r="I139" t="str">
        <f>VLOOKUP(A:A,[1]기본데이터!$B:$E,4,0)</f>
        <v>레이저샤워헤드(실버)</v>
      </c>
      <c r="K139" t="s">
        <v>62</v>
      </c>
      <c r="L139" t="s">
        <v>21</v>
      </c>
      <c r="M139" t="s">
        <v>29</v>
      </c>
      <c r="Q139" t="s">
        <v>22</v>
      </c>
      <c r="R139" t="s">
        <v>30</v>
      </c>
      <c r="S139" t="s">
        <v>23</v>
      </c>
      <c r="T139" t="s">
        <v>50</v>
      </c>
    </row>
    <row r="140" spans="1:20" x14ac:dyDescent="0.3">
      <c r="A140" t="s">
        <v>391</v>
      </c>
      <c r="B140" s="1" t="s">
        <v>722</v>
      </c>
      <c r="C140" s="1" t="s">
        <v>758</v>
      </c>
      <c r="D140" s="1" t="s">
        <v>759</v>
      </c>
      <c r="E140" t="s">
        <v>392</v>
      </c>
      <c r="F140" t="s">
        <v>20</v>
      </c>
      <c r="G140" t="s">
        <v>26</v>
      </c>
      <c r="H140">
        <v>57471</v>
      </c>
      <c r="I140" t="str">
        <f>VLOOKUP(A:A,[1]기본데이터!$B:$E,4,0)</f>
        <v>레이저샤워기헤드(대)</v>
      </c>
      <c r="K140" t="s">
        <v>57</v>
      </c>
      <c r="L140" t="s">
        <v>21</v>
      </c>
      <c r="M140" t="s">
        <v>29</v>
      </c>
      <c r="Q140" t="s">
        <v>22</v>
      </c>
      <c r="R140" t="s">
        <v>30</v>
      </c>
      <c r="S140" t="s">
        <v>23</v>
      </c>
      <c r="T140" t="s">
        <v>50</v>
      </c>
    </row>
    <row r="141" spans="1:20" x14ac:dyDescent="0.3">
      <c r="A141" t="s">
        <v>393</v>
      </c>
      <c r="B141" s="1" t="s">
        <v>637</v>
      </c>
      <c r="C141" s="1" t="s">
        <v>760</v>
      </c>
      <c r="D141" s="1" t="s">
        <v>761</v>
      </c>
      <c r="E141" t="s">
        <v>394</v>
      </c>
      <c r="F141" t="s">
        <v>20</v>
      </c>
      <c r="G141" t="s">
        <v>26</v>
      </c>
      <c r="H141">
        <v>57472</v>
      </c>
      <c r="I141" t="str">
        <f>VLOOKUP(A:A,[1]기본데이터!$B:$E,4,0)</f>
        <v>메탈샤워호스(1.5 m)</v>
      </c>
      <c r="K141" t="s">
        <v>28</v>
      </c>
      <c r="L141" t="s">
        <v>21</v>
      </c>
      <c r="M141" t="s">
        <v>29</v>
      </c>
      <c r="Q141" t="s">
        <v>22</v>
      </c>
      <c r="R141" t="s">
        <v>30</v>
      </c>
      <c r="S141" t="s">
        <v>23</v>
      </c>
      <c r="T141" t="s">
        <v>50</v>
      </c>
    </row>
    <row r="142" spans="1:20" x14ac:dyDescent="0.3">
      <c r="A142" t="s">
        <v>395</v>
      </c>
      <c r="B142" s="1" t="s">
        <v>637</v>
      </c>
      <c r="C142" s="1" t="s">
        <v>762</v>
      </c>
      <c r="D142" s="1" t="s">
        <v>763</v>
      </c>
      <c r="E142" t="s">
        <v>396</v>
      </c>
      <c r="F142" t="s">
        <v>20</v>
      </c>
      <c r="G142" t="s">
        <v>26</v>
      </c>
      <c r="H142">
        <v>57473</v>
      </c>
      <c r="I142" t="str">
        <f>VLOOKUP(A:A,[1]기본데이터!$B:$E,4,0)</f>
        <v>메탈샤워호스(2 m)</v>
      </c>
      <c r="K142" t="s">
        <v>28</v>
      </c>
      <c r="L142" t="s">
        <v>21</v>
      </c>
      <c r="M142" t="s">
        <v>29</v>
      </c>
      <c r="Q142" t="s">
        <v>22</v>
      </c>
      <c r="R142" t="s">
        <v>30</v>
      </c>
      <c r="S142" t="s">
        <v>23</v>
      </c>
      <c r="T142" t="s">
        <v>50</v>
      </c>
    </row>
    <row r="143" spans="1:20" x14ac:dyDescent="0.3">
      <c r="A143" t="s">
        <v>397</v>
      </c>
      <c r="D143" s="1" t="s">
        <v>764</v>
      </c>
      <c r="E143" t="s">
        <v>398</v>
      </c>
      <c r="F143" t="s">
        <v>34</v>
      </c>
      <c r="G143" t="s">
        <v>26</v>
      </c>
      <c r="H143">
        <v>57474</v>
      </c>
      <c r="L143" t="s">
        <v>21</v>
      </c>
      <c r="M143" t="s">
        <v>29</v>
      </c>
      <c r="Q143" t="s">
        <v>22</v>
      </c>
      <c r="R143" t="s">
        <v>30</v>
      </c>
      <c r="S143" t="s">
        <v>23</v>
      </c>
      <c r="T143" t="s">
        <v>50</v>
      </c>
    </row>
    <row r="144" spans="1:20" x14ac:dyDescent="0.3">
      <c r="A144" t="s">
        <v>399</v>
      </c>
      <c r="D144" s="1" t="s">
        <v>765</v>
      </c>
      <c r="E144" t="s">
        <v>400</v>
      </c>
      <c r="F144" t="s">
        <v>34</v>
      </c>
      <c r="G144" t="s">
        <v>26</v>
      </c>
      <c r="H144">
        <v>57475</v>
      </c>
      <c r="L144" t="s">
        <v>21</v>
      </c>
      <c r="M144" t="s">
        <v>29</v>
      </c>
      <c r="Q144" t="s">
        <v>22</v>
      </c>
      <c r="R144" t="s">
        <v>30</v>
      </c>
      <c r="S144" t="s">
        <v>23</v>
      </c>
      <c r="T144" t="s">
        <v>50</v>
      </c>
    </row>
    <row r="145" spans="1:20" x14ac:dyDescent="0.3">
      <c r="A145" t="s">
        <v>401</v>
      </c>
      <c r="D145" s="1" t="s">
        <v>766</v>
      </c>
      <c r="E145" t="s">
        <v>402</v>
      </c>
      <c r="F145" t="s">
        <v>34</v>
      </c>
      <c r="G145" t="s">
        <v>26</v>
      </c>
      <c r="H145">
        <v>57476</v>
      </c>
      <c r="L145" t="s">
        <v>21</v>
      </c>
      <c r="M145" t="s">
        <v>29</v>
      </c>
      <c r="Q145" t="s">
        <v>22</v>
      </c>
      <c r="R145" t="s">
        <v>30</v>
      </c>
      <c r="S145" t="s">
        <v>23</v>
      </c>
      <c r="T145" t="s">
        <v>50</v>
      </c>
    </row>
    <row r="146" spans="1:20" x14ac:dyDescent="0.3">
      <c r="A146" t="s">
        <v>403</v>
      </c>
      <c r="B146" s="1" t="s">
        <v>637</v>
      </c>
      <c r="C146" s="1" t="s">
        <v>767</v>
      </c>
      <c r="D146" s="1" t="s">
        <v>768</v>
      </c>
      <c r="E146" t="s">
        <v>404</v>
      </c>
      <c r="F146" t="s">
        <v>20</v>
      </c>
      <c r="G146" t="s">
        <v>26</v>
      </c>
      <c r="H146">
        <v>57477</v>
      </c>
      <c r="I146" t="str">
        <f>VLOOKUP(A:A,[1]기본데이터!$B:$E,4,0)</f>
        <v>투명은사샤워호스(2 m)</v>
      </c>
      <c r="K146" t="s">
        <v>28</v>
      </c>
      <c r="L146" t="s">
        <v>21</v>
      </c>
      <c r="M146" t="s">
        <v>29</v>
      </c>
      <c r="Q146" t="s">
        <v>22</v>
      </c>
      <c r="R146" t="s">
        <v>30</v>
      </c>
      <c r="S146" t="s">
        <v>23</v>
      </c>
      <c r="T146" t="s">
        <v>50</v>
      </c>
    </row>
    <row r="147" spans="1:20" x14ac:dyDescent="0.3">
      <c r="A147" t="s">
        <v>405</v>
      </c>
      <c r="D147" s="1" t="s">
        <v>769</v>
      </c>
      <c r="E147" t="s">
        <v>406</v>
      </c>
      <c r="F147" t="s">
        <v>34</v>
      </c>
      <c r="G147" t="s">
        <v>26</v>
      </c>
      <c r="H147">
        <v>57478</v>
      </c>
      <c r="L147" t="s">
        <v>21</v>
      </c>
      <c r="M147" t="s">
        <v>29</v>
      </c>
      <c r="Q147" t="s">
        <v>22</v>
      </c>
      <c r="R147" t="s">
        <v>30</v>
      </c>
      <c r="S147" t="s">
        <v>23</v>
      </c>
      <c r="T147" t="s">
        <v>50</v>
      </c>
    </row>
    <row r="148" spans="1:20" x14ac:dyDescent="0.3">
      <c r="A148" t="s">
        <v>407</v>
      </c>
      <c r="D148" s="1" t="s">
        <v>770</v>
      </c>
      <c r="E148" t="s">
        <v>408</v>
      </c>
      <c r="F148" t="s">
        <v>34</v>
      </c>
      <c r="G148" t="s">
        <v>26</v>
      </c>
      <c r="H148">
        <v>57479</v>
      </c>
      <c r="L148" t="s">
        <v>21</v>
      </c>
      <c r="M148" t="s">
        <v>29</v>
      </c>
      <c r="Q148" t="s">
        <v>22</v>
      </c>
      <c r="R148" t="s">
        <v>30</v>
      </c>
      <c r="S148" t="s">
        <v>23</v>
      </c>
      <c r="T148" t="s">
        <v>50</v>
      </c>
    </row>
    <row r="149" spans="1:20" x14ac:dyDescent="0.3">
      <c r="A149" t="s">
        <v>409</v>
      </c>
      <c r="D149" s="1" t="s">
        <v>771</v>
      </c>
      <c r="E149" t="s">
        <v>410</v>
      </c>
      <c r="F149" t="s">
        <v>34</v>
      </c>
      <c r="G149" t="s">
        <v>26</v>
      </c>
      <c r="H149">
        <v>57480</v>
      </c>
      <c r="K149" t="s">
        <v>372</v>
      </c>
      <c r="L149" t="s">
        <v>21</v>
      </c>
      <c r="M149" t="s">
        <v>29</v>
      </c>
      <c r="Q149" t="s">
        <v>22</v>
      </c>
      <c r="R149" t="s">
        <v>30</v>
      </c>
      <c r="S149" t="s">
        <v>23</v>
      </c>
      <c r="T149" t="s">
        <v>50</v>
      </c>
    </row>
    <row r="150" spans="1:20" x14ac:dyDescent="0.3">
      <c r="A150" t="s">
        <v>411</v>
      </c>
      <c r="D150" s="1" t="s">
        <v>772</v>
      </c>
      <c r="E150" t="s">
        <v>412</v>
      </c>
      <c r="F150" t="s">
        <v>34</v>
      </c>
      <c r="G150" t="s">
        <v>26</v>
      </c>
      <c r="H150">
        <v>57481</v>
      </c>
      <c r="L150" t="s">
        <v>21</v>
      </c>
      <c r="M150" t="s">
        <v>29</v>
      </c>
      <c r="Q150" t="s">
        <v>22</v>
      </c>
      <c r="R150" t="s">
        <v>30</v>
      </c>
      <c r="S150" t="s">
        <v>23</v>
      </c>
      <c r="T150" t="s">
        <v>50</v>
      </c>
    </row>
    <row r="151" spans="1:20" x14ac:dyDescent="0.3">
      <c r="A151" t="s">
        <v>413</v>
      </c>
      <c r="D151" s="1" t="s">
        <v>773</v>
      </c>
      <c r="E151" t="s">
        <v>414</v>
      </c>
      <c r="F151" t="s">
        <v>34</v>
      </c>
      <c r="G151" t="s">
        <v>26</v>
      </c>
      <c r="H151">
        <v>57482</v>
      </c>
      <c r="I151" t="str">
        <f>VLOOKUP(A:A,[1]기본데이터!$B:$E,4,0)</f>
        <v>메탈샤워세트(1.5 m)</v>
      </c>
      <c r="K151" t="s">
        <v>415</v>
      </c>
      <c r="L151" t="s">
        <v>21</v>
      </c>
      <c r="M151" t="s">
        <v>29</v>
      </c>
      <c r="Q151" t="s">
        <v>22</v>
      </c>
      <c r="R151" t="s">
        <v>30</v>
      </c>
      <c r="S151" t="s">
        <v>23</v>
      </c>
      <c r="T151" t="s">
        <v>50</v>
      </c>
    </row>
    <row r="152" spans="1:20" x14ac:dyDescent="0.3">
      <c r="A152" t="s">
        <v>416</v>
      </c>
      <c r="B152" s="1" t="s">
        <v>546</v>
      </c>
      <c r="C152" s="1" t="s">
        <v>774</v>
      </c>
      <c r="D152" s="1" t="s">
        <v>775</v>
      </c>
      <c r="E152" t="s">
        <v>417</v>
      </c>
      <c r="F152" t="s">
        <v>20</v>
      </c>
      <c r="G152" t="s">
        <v>26</v>
      </c>
      <c r="H152">
        <v>57483</v>
      </c>
      <c r="I152" t="str">
        <f>VLOOKUP(A:A,[1]기본데이터!$B:$E,4,0)</f>
        <v>무브브라켓</v>
      </c>
      <c r="K152" t="s">
        <v>372</v>
      </c>
      <c r="L152" t="s">
        <v>21</v>
      </c>
      <c r="M152" t="s">
        <v>29</v>
      </c>
      <c r="Q152" t="s">
        <v>22</v>
      </c>
      <c r="R152" t="s">
        <v>30</v>
      </c>
      <c r="S152" t="s">
        <v>23</v>
      </c>
      <c r="T152" t="s">
        <v>50</v>
      </c>
    </row>
    <row r="153" spans="1:20" x14ac:dyDescent="0.3">
      <c r="A153" t="s">
        <v>418</v>
      </c>
      <c r="D153" s="1" t="s">
        <v>574</v>
      </c>
      <c r="E153" t="s">
        <v>419</v>
      </c>
      <c r="F153" t="s">
        <v>34</v>
      </c>
      <c r="G153" t="s">
        <v>26</v>
      </c>
      <c r="H153">
        <v>57484</v>
      </c>
      <c r="K153" t="s">
        <v>420</v>
      </c>
      <c r="L153" t="s">
        <v>21</v>
      </c>
      <c r="M153" t="s">
        <v>29</v>
      </c>
      <c r="Q153" t="s">
        <v>22</v>
      </c>
      <c r="R153" t="s">
        <v>30</v>
      </c>
      <c r="S153" t="s">
        <v>23</v>
      </c>
      <c r="T153" t="s">
        <v>50</v>
      </c>
    </row>
    <row r="154" spans="1:20" x14ac:dyDescent="0.3">
      <c r="A154" t="s">
        <v>421</v>
      </c>
      <c r="B154" s="1" t="s">
        <v>637</v>
      </c>
      <c r="C154" s="1" t="s">
        <v>776</v>
      </c>
      <c r="D154" s="1" t="s">
        <v>777</v>
      </c>
      <c r="E154" t="s">
        <v>422</v>
      </c>
      <c r="F154" t="s">
        <v>20</v>
      </c>
      <c r="G154" t="s">
        <v>26</v>
      </c>
      <c r="H154">
        <v>57485</v>
      </c>
      <c r="I154" t="str">
        <f>VLOOKUP(A:A,[1]기본데이터!$B:$E,4,0)</f>
        <v>분사기(일반호스용)</v>
      </c>
      <c r="K154" t="s">
        <v>420</v>
      </c>
      <c r="L154" t="s">
        <v>21</v>
      </c>
      <c r="M154" t="s">
        <v>29</v>
      </c>
      <c r="Q154" t="s">
        <v>22</v>
      </c>
      <c r="R154" t="s">
        <v>30</v>
      </c>
      <c r="S154" t="s">
        <v>23</v>
      </c>
      <c r="T154" t="s">
        <v>50</v>
      </c>
    </row>
    <row r="155" spans="1:20" x14ac:dyDescent="0.3">
      <c r="A155" t="s">
        <v>423</v>
      </c>
      <c r="D155" s="1" t="s">
        <v>778</v>
      </c>
      <c r="E155" t="s">
        <v>424</v>
      </c>
      <c r="F155" t="s">
        <v>34</v>
      </c>
      <c r="G155" t="s">
        <v>26</v>
      </c>
      <c r="H155">
        <v>57486</v>
      </c>
      <c r="K155" t="s">
        <v>420</v>
      </c>
      <c r="L155" t="s">
        <v>21</v>
      </c>
      <c r="M155" t="s">
        <v>29</v>
      </c>
      <c r="Q155" t="s">
        <v>22</v>
      </c>
      <c r="R155" t="s">
        <v>30</v>
      </c>
      <c r="S155" t="s">
        <v>23</v>
      </c>
      <c r="T155" t="s">
        <v>50</v>
      </c>
    </row>
    <row r="156" spans="1:20" x14ac:dyDescent="0.3">
      <c r="A156" t="s">
        <v>425</v>
      </c>
      <c r="D156" s="1" t="s">
        <v>507</v>
      </c>
      <c r="E156" t="s">
        <v>426</v>
      </c>
      <c r="F156" t="s">
        <v>34</v>
      </c>
      <c r="G156" t="s">
        <v>26</v>
      </c>
      <c r="L156" t="s">
        <v>21</v>
      </c>
      <c r="M156" t="s">
        <v>29</v>
      </c>
      <c r="Q156" t="s">
        <v>22</v>
      </c>
      <c r="R156" t="s">
        <v>30</v>
      </c>
      <c r="S156" t="s">
        <v>23</v>
      </c>
    </row>
    <row r="157" spans="1:20" x14ac:dyDescent="0.3">
      <c r="A157" t="s">
        <v>427</v>
      </c>
      <c r="B157" s="1" t="s">
        <v>628</v>
      </c>
      <c r="C157" s="1" t="s">
        <v>779</v>
      </c>
      <c r="D157" s="1" t="s">
        <v>780</v>
      </c>
      <c r="E157" t="s">
        <v>428</v>
      </c>
      <c r="F157" t="s">
        <v>20</v>
      </c>
      <c r="G157" t="s">
        <v>26</v>
      </c>
      <c r="H157">
        <v>57487</v>
      </c>
      <c r="I157" t="str">
        <f>VLOOKUP(A:A,[1]기본데이터!$B:$E,4,0)</f>
        <v>원스톱급수캡</v>
      </c>
      <c r="K157" t="s">
        <v>28</v>
      </c>
      <c r="L157" t="s">
        <v>21</v>
      </c>
      <c r="M157" t="s">
        <v>29</v>
      </c>
      <c r="Q157" t="s">
        <v>22</v>
      </c>
      <c r="R157" t="s">
        <v>30</v>
      </c>
      <c r="S157" t="s">
        <v>23</v>
      </c>
      <c r="T157" t="s">
        <v>50</v>
      </c>
    </row>
    <row r="158" spans="1:20" x14ac:dyDescent="0.3">
      <c r="A158" t="s">
        <v>429</v>
      </c>
      <c r="B158" s="1" t="s">
        <v>628</v>
      </c>
      <c r="C158" s="1" t="s">
        <v>781</v>
      </c>
      <c r="D158" s="1" t="s">
        <v>782</v>
      </c>
      <c r="E158" t="s">
        <v>430</v>
      </c>
      <c r="F158" t="s">
        <v>20</v>
      </c>
      <c r="G158" t="s">
        <v>26</v>
      </c>
      <c r="H158">
        <v>57488</v>
      </c>
      <c r="I158" t="str">
        <f>VLOOKUP(A:A,[1]기본데이터!$B:$E,4,0)</f>
        <v>투명물호스(2m)</v>
      </c>
      <c r="K158" t="s">
        <v>28</v>
      </c>
      <c r="L158" t="s">
        <v>21</v>
      </c>
      <c r="M158" t="s">
        <v>29</v>
      </c>
      <c r="Q158" t="s">
        <v>22</v>
      </c>
      <c r="R158" t="s">
        <v>30</v>
      </c>
      <c r="S158" t="s">
        <v>23</v>
      </c>
      <c r="T158" t="s">
        <v>50</v>
      </c>
    </row>
    <row r="159" spans="1:20" x14ac:dyDescent="0.3">
      <c r="A159" t="s">
        <v>431</v>
      </c>
      <c r="B159" s="1" t="s">
        <v>637</v>
      </c>
      <c r="C159" s="1" t="s">
        <v>783</v>
      </c>
      <c r="D159" s="1" t="s">
        <v>784</v>
      </c>
      <c r="E159" t="s">
        <v>432</v>
      </c>
      <c r="F159" t="s">
        <v>20</v>
      </c>
      <c r="G159" t="s">
        <v>26</v>
      </c>
      <c r="H159">
        <v>57489</v>
      </c>
      <c r="I159" t="str">
        <f>VLOOKUP(A:A,[1]기본데이터!$B:$E,4,0)</f>
        <v>투명물호스(3.3 m)</v>
      </c>
      <c r="K159" t="s">
        <v>28</v>
      </c>
      <c r="L159" t="s">
        <v>21</v>
      </c>
      <c r="M159" t="s">
        <v>29</v>
      </c>
      <c r="Q159" t="s">
        <v>22</v>
      </c>
      <c r="R159" t="s">
        <v>30</v>
      </c>
      <c r="S159" t="s">
        <v>23</v>
      </c>
      <c r="T159" t="s">
        <v>50</v>
      </c>
    </row>
    <row r="160" spans="1:20" x14ac:dyDescent="0.3">
      <c r="A160" t="s">
        <v>433</v>
      </c>
      <c r="B160" s="1" t="s">
        <v>546</v>
      </c>
      <c r="C160" s="1" t="s">
        <v>785</v>
      </c>
      <c r="D160" s="1" t="s">
        <v>786</v>
      </c>
      <c r="E160" t="s">
        <v>434</v>
      </c>
      <c r="F160" t="s">
        <v>20</v>
      </c>
      <c r="G160" t="s">
        <v>26</v>
      </c>
      <c r="H160">
        <v>57490</v>
      </c>
      <c r="I160" t="str">
        <f>VLOOKUP(A:A,[1]기본데이터!$B:$E,4,0)</f>
        <v>호스연결구</v>
      </c>
      <c r="K160" t="s">
        <v>420</v>
      </c>
      <c r="L160" t="s">
        <v>21</v>
      </c>
      <c r="M160" t="s">
        <v>29</v>
      </c>
      <c r="Q160" t="s">
        <v>22</v>
      </c>
      <c r="R160" t="s">
        <v>30</v>
      </c>
      <c r="S160" t="s">
        <v>23</v>
      </c>
      <c r="T160" t="s">
        <v>50</v>
      </c>
    </row>
    <row r="161" spans="1:20" x14ac:dyDescent="0.3">
      <c r="A161" t="s">
        <v>435</v>
      </c>
      <c r="B161" s="1" t="s">
        <v>546</v>
      </c>
      <c r="C161" s="1" t="s">
        <v>787</v>
      </c>
      <c r="D161" s="1" t="s">
        <v>788</v>
      </c>
      <c r="E161" t="s">
        <v>436</v>
      </c>
      <c r="F161" t="s">
        <v>20</v>
      </c>
      <c r="G161" t="s">
        <v>26</v>
      </c>
      <c r="H161">
        <v>57491</v>
      </c>
      <c r="I161" t="str">
        <f>VLOOKUP(A:A,[1]기본데이터!$B:$E,4,0)</f>
        <v>나사테이프2P/SET</v>
      </c>
      <c r="K161" t="s">
        <v>437</v>
      </c>
      <c r="L161" t="s">
        <v>21</v>
      </c>
      <c r="M161" t="s">
        <v>29</v>
      </c>
      <c r="Q161" t="s">
        <v>22</v>
      </c>
      <c r="R161" t="s">
        <v>30</v>
      </c>
      <c r="S161" t="s">
        <v>23</v>
      </c>
      <c r="T161" t="s">
        <v>50</v>
      </c>
    </row>
    <row r="162" spans="1:20" x14ac:dyDescent="0.3">
      <c r="A162" t="s">
        <v>438</v>
      </c>
      <c r="B162" s="1" t="s">
        <v>628</v>
      </c>
      <c r="C162" s="1" t="s">
        <v>789</v>
      </c>
      <c r="D162" s="1" t="s">
        <v>790</v>
      </c>
      <c r="E162" t="s">
        <v>439</v>
      </c>
      <c r="F162" t="s">
        <v>20</v>
      </c>
      <c r="G162" t="s">
        <v>26</v>
      </c>
      <c r="H162">
        <v>57492</v>
      </c>
      <c r="I162" t="str">
        <f>VLOOKUP(A:A,[1]기본데이터!$B:$E,4,0)</f>
        <v>고정주방절수기(실버)</v>
      </c>
      <c r="K162" t="s">
        <v>57</v>
      </c>
      <c r="L162" t="s">
        <v>21</v>
      </c>
      <c r="M162" t="s">
        <v>29</v>
      </c>
      <c r="Q162" t="s">
        <v>22</v>
      </c>
      <c r="R162" t="s">
        <v>30</v>
      </c>
      <c r="S162" t="s">
        <v>23</v>
      </c>
      <c r="T162" t="s">
        <v>50</v>
      </c>
    </row>
    <row r="163" spans="1:20" x14ac:dyDescent="0.3">
      <c r="A163" t="s">
        <v>440</v>
      </c>
      <c r="D163" s="1" t="s">
        <v>791</v>
      </c>
      <c r="E163" t="s">
        <v>441</v>
      </c>
      <c r="F163" t="s">
        <v>34</v>
      </c>
      <c r="G163" t="s">
        <v>26</v>
      </c>
      <c r="H163">
        <v>57493</v>
      </c>
      <c r="K163" t="s">
        <v>57</v>
      </c>
      <c r="L163" t="s">
        <v>21</v>
      </c>
      <c r="M163" t="s">
        <v>29</v>
      </c>
      <c r="Q163" t="s">
        <v>22</v>
      </c>
      <c r="R163" t="s">
        <v>30</v>
      </c>
      <c r="S163" t="s">
        <v>23</v>
      </c>
      <c r="T163" t="s">
        <v>50</v>
      </c>
    </row>
    <row r="164" spans="1:20" x14ac:dyDescent="0.3">
      <c r="A164" t="s">
        <v>442</v>
      </c>
      <c r="D164" s="1" t="s">
        <v>792</v>
      </c>
      <c r="E164" t="s">
        <v>443</v>
      </c>
      <c r="F164" t="s">
        <v>34</v>
      </c>
      <c r="G164" t="s">
        <v>26</v>
      </c>
      <c r="H164">
        <v>57494</v>
      </c>
      <c r="L164" t="s">
        <v>21</v>
      </c>
      <c r="M164" t="s">
        <v>29</v>
      </c>
      <c r="Q164" t="s">
        <v>22</v>
      </c>
      <c r="R164" t="s">
        <v>30</v>
      </c>
      <c r="S164" t="s">
        <v>23</v>
      </c>
      <c r="T164" t="s">
        <v>50</v>
      </c>
    </row>
    <row r="165" spans="1:20" x14ac:dyDescent="0.3">
      <c r="A165" t="s">
        <v>444</v>
      </c>
      <c r="D165" s="1" t="s">
        <v>793</v>
      </c>
      <c r="E165" t="s">
        <v>445</v>
      </c>
      <c r="F165" t="s">
        <v>34</v>
      </c>
      <c r="G165" t="s">
        <v>26</v>
      </c>
      <c r="H165">
        <v>57495</v>
      </c>
      <c r="K165" t="s">
        <v>28</v>
      </c>
      <c r="L165" t="s">
        <v>21</v>
      </c>
      <c r="M165" t="s">
        <v>29</v>
      </c>
      <c r="Q165" t="s">
        <v>22</v>
      </c>
      <c r="R165" t="s">
        <v>30</v>
      </c>
      <c r="S165" t="s">
        <v>23</v>
      </c>
      <c r="T165" t="s">
        <v>50</v>
      </c>
    </row>
    <row r="166" spans="1:20" x14ac:dyDescent="0.3">
      <c r="A166" t="s">
        <v>446</v>
      </c>
      <c r="B166" s="1" t="s">
        <v>546</v>
      </c>
      <c r="C166" s="1" t="s">
        <v>794</v>
      </c>
      <c r="D166" s="1" t="s">
        <v>795</v>
      </c>
      <c r="E166" t="s">
        <v>447</v>
      </c>
      <c r="F166" t="s">
        <v>20</v>
      </c>
      <c r="G166" t="s">
        <v>26</v>
      </c>
      <c r="H166">
        <v>57846</v>
      </c>
      <c r="I166" t="str">
        <f>VLOOKUP(A:A,[1]기본데이터!$B:$E,4,0)</f>
        <v>점화라이터(미니)</v>
      </c>
      <c r="J166" t="s">
        <v>448</v>
      </c>
      <c r="K166" t="s">
        <v>155</v>
      </c>
      <c r="L166" t="s">
        <v>21</v>
      </c>
      <c r="M166" t="s">
        <v>29</v>
      </c>
      <c r="Q166" t="s">
        <v>22</v>
      </c>
      <c r="R166" t="s">
        <v>30</v>
      </c>
      <c r="S166" t="s">
        <v>23</v>
      </c>
      <c r="T166" t="s">
        <v>36</v>
      </c>
    </row>
    <row r="167" spans="1:20" x14ac:dyDescent="0.3">
      <c r="A167" t="s">
        <v>449</v>
      </c>
      <c r="B167" s="1" t="s">
        <v>628</v>
      </c>
      <c r="C167" s="1" t="s">
        <v>796</v>
      </c>
      <c r="D167" s="1" t="s">
        <v>797</v>
      </c>
      <c r="E167" t="s">
        <v>450</v>
      </c>
      <c r="F167" t="s">
        <v>20</v>
      </c>
      <c r="G167" t="s">
        <v>26</v>
      </c>
      <c r="H167">
        <v>57847</v>
      </c>
      <c r="I167" t="str">
        <f>VLOOKUP(A:A,[1]기본데이터!$B:$E,4,0)</f>
        <v>굽은형점화라이터</v>
      </c>
      <c r="J167" t="s">
        <v>451</v>
      </c>
      <c r="K167" t="s">
        <v>452</v>
      </c>
      <c r="L167" t="s">
        <v>21</v>
      </c>
      <c r="M167" t="s">
        <v>29</v>
      </c>
      <c r="Q167" t="s">
        <v>22</v>
      </c>
      <c r="R167" t="s">
        <v>30</v>
      </c>
      <c r="S167" t="s">
        <v>23</v>
      </c>
      <c r="T167" t="s">
        <v>36</v>
      </c>
    </row>
    <row r="168" spans="1:20" x14ac:dyDescent="0.3">
      <c r="A168" t="s">
        <v>453</v>
      </c>
      <c r="B168" s="1" t="s">
        <v>628</v>
      </c>
      <c r="C168" s="1" t="s">
        <v>798</v>
      </c>
      <c r="D168" s="1" t="s">
        <v>799</v>
      </c>
      <c r="E168" t="s">
        <v>454</v>
      </c>
      <c r="F168" t="s">
        <v>20</v>
      </c>
      <c r="G168" t="s">
        <v>26</v>
      </c>
      <c r="H168">
        <v>57848</v>
      </c>
      <c r="I168" t="str">
        <f>VLOOKUP(A:A,[1]기본데이터!$B:$E,4,0)</f>
        <v>고급점화라이터(투톤)</v>
      </c>
      <c r="J168" t="s">
        <v>455</v>
      </c>
      <c r="K168" t="s">
        <v>452</v>
      </c>
      <c r="L168" t="s">
        <v>21</v>
      </c>
      <c r="M168" t="s">
        <v>29</v>
      </c>
      <c r="Q168" t="s">
        <v>22</v>
      </c>
      <c r="R168" t="s">
        <v>30</v>
      </c>
      <c r="S168" t="s">
        <v>23</v>
      </c>
      <c r="T168" t="s">
        <v>36</v>
      </c>
    </row>
    <row r="169" spans="1:20" x14ac:dyDescent="0.3">
      <c r="A169" t="s">
        <v>456</v>
      </c>
      <c r="B169" s="1" t="s">
        <v>628</v>
      </c>
      <c r="C169" s="1" t="s">
        <v>800</v>
      </c>
      <c r="D169" s="1" t="s">
        <v>801</v>
      </c>
      <c r="E169" t="s">
        <v>457</v>
      </c>
      <c r="F169" t="s">
        <v>20</v>
      </c>
      <c r="G169" t="s">
        <v>26</v>
      </c>
      <c r="H169">
        <v>57849</v>
      </c>
      <c r="I169" t="str">
        <f>VLOOKUP(A:A,[1]기본데이터!$B:$E,4,0)</f>
        <v>고급점화라이터</v>
      </c>
      <c r="J169" t="s">
        <v>458</v>
      </c>
      <c r="K169" t="s">
        <v>452</v>
      </c>
      <c r="L169" t="s">
        <v>21</v>
      </c>
      <c r="M169" t="s">
        <v>29</v>
      </c>
      <c r="Q169" t="s">
        <v>22</v>
      </c>
      <c r="R169" t="s">
        <v>30</v>
      </c>
      <c r="S169" t="s">
        <v>23</v>
      </c>
      <c r="T169" t="s">
        <v>36</v>
      </c>
    </row>
    <row r="170" spans="1:20" x14ac:dyDescent="0.3">
      <c r="A170" t="s">
        <v>459</v>
      </c>
      <c r="B170" s="1" t="s">
        <v>546</v>
      </c>
      <c r="C170" s="1" t="s">
        <v>802</v>
      </c>
      <c r="D170" s="1" t="s">
        <v>803</v>
      </c>
      <c r="E170" t="s">
        <v>460</v>
      </c>
      <c r="F170" t="s">
        <v>20</v>
      </c>
      <c r="G170" t="s">
        <v>26</v>
      </c>
      <c r="H170">
        <v>57850</v>
      </c>
      <c r="I170" t="str">
        <f>VLOOKUP(A:A,[1]기본데이터!$B:$E,4,0)</f>
        <v>미니점화라이터</v>
      </c>
      <c r="K170" t="s">
        <v>155</v>
      </c>
      <c r="L170" t="s">
        <v>21</v>
      </c>
      <c r="M170" t="s">
        <v>29</v>
      </c>
      <c r="Q170" t="s">
        <v>22</v>
      </c>
      <c r="R170" t="s">
        <v>30</v>
      </c>
      <c r="S170" t="s">
        <v>23</v>
      </c>
      <c r="T170" t="s">
        <v>36</v>
      </c>
    </row>
    <row r="171" spans="1:20" x14ac:dyDescent="0.3">
      <c r="A171" t="s">
        <v>461</v>
      </c>
      <c r="B171" s="1" t="s">
        <v>628</v>
      </c>
      <c r="C171" s="1" t="s">
        <v>804</v>
      </c>
      <c r="D171" s="1" t="s">
        <v>805</v>
      </c>
      <c r="E171" t="s">
        <v>462</v>
      </c>
      <c r="F171" t="s">
        <v>20</v>
      </c>
      <c r="G171" t="s">
        <v>26</v>
      </c>
      <c r="H171">
        <v>57851</v>
      </c>
      <c r="I171" t="str">
        <f>VLOOKUP(A:A,[1]기본데이터!$B:$E,4,0)</f>
        <v>가스점화라이터</v>
      </c>
      <c r="J171" t="s">
        <v>463</v>
      </c>
      <c r="K171" t="s">
        <v>452</v>
      </c>
      <c r="L171" t="s">
        <v>21</v>
      </c>
      <c r="M171" t="s">
        <v>29</v>
      </c>
      <c r="Q171" t="s">
        <v>22</v>
      </c>
      <c r="R171" t="s">
        <v>30</v>
      </c>
      <c r="S171" t="s">
        <v>23</v>
      </c>
      <c r="T171" t="s">
        <v>36</v>
      </c>
    </row>
    <row r="172" spans="1:20" x14ac:dyDescent="0.3">
      <c r="A172" t="s">
        <v>464</v>
      </c>
      <c r="B172" s="1" t="s">
        <v>628</v>
      </c>
      <c r="C172" s="1" t="s">
        <v>806</v>
      </c>
      <c r="D172" s="1" t="s">
        <v>807</v>
      </c>
      <c r="E172" t="s">
        <v>465</v>
      </c>
      <c r="F172" t="s">
        <v>20</v>
      </c>
      <c r="G172" t="s">
        <v>26</v>
      </c>
      <c r="H172">
        <v>57852</v>
      </c>
      <c r="I172" t="str">
        <f>VLOOKUP(A:A,[1]기본데이터!$B:$E,4,0)</f>
        <v>스프레이접착제(70 ml)</v>
      </c>
      <c r="K172" t="s">
        <v>101</v>
      </c>
      <c r="L172" t="s">
        <v>76</v>
      </c>
      <c r="M172" t="s">
        <v>77</v>
      </c>
      <c r="N172" t="s">
        <v>78</v>
      </c>
      <c r="Q172" t="s">
        <v>22</v>
      </c>
      <c r="R172" t="s">
        <v>30</v>
      </c>
      <c r="S172" t="s">
        <v>23</v>
      </c>
      <c r="T172" t="s">
        <v>102</v>
      </c>
    </row>
    <row r="173" spans="1:20" x14ac:dyDescent="0.3">
      <c r="A173" t="s">
        <v>466</v>
      </c>
      <c r="B173" s="1" t="s">
        <v>637</v>
      </c>
      <c r="C173" s="1" t="s">
        <v>808</v>
      </c>
      <c r="D173" s="1" t="s">
        <v>809</v>
      </c>
      <c r="E173" t="s">
        <v>467</v>
      </c>
      <c r="F173" t="s">
        <v>20</v>
      </c>
      <c r="G173" t="s">
        <v>26</v>
      </c>
      <c r="H173">
        <v>59225</v>
      </c>
      <c r="I173" t="str">
        <f>VLOOKUP(A:A,[1]기본데이터!$B:$E,4,0)</f>
        <v>고압 레이저 절수헤드</v>
      </c>
      <c r="K173" t="s">
        <v>57</v>
      </c>
      <c r="L173" t="s">
        <v>21</v>
      </c>
      <c r="M173" t="s">
        <v>29</v>
      </c>
      <c r="Q173" t="s">
        <v>22</v>
      </c>
      <c r="R173" t="s">
        <v>30</v>
      </c>
      <c r="S173" t="s">
        <v>23</v>
      </c>
      <c r="T173" t="s">
        <v>50</v>
      </c>
    </row>
    <row r="174" spans="1:20" x14ac:dyDescent="0.3">
      <c r="A174" t="s">
        <v>468</v>
      </c>
      <c r="B174" s="1" t="s">
        <v>722</v>
      </c>
      <c r="C174" s="1" t="s">
        <v>810</v>
      </c>
      <c r="D174" s="1" t="s">
        <v>811</v>
      </c>
      <c r="E174" t="s">
        <v>469</v>
      </c>
      <c r="F174" t="s">
        <v>20</v>
      </c>
      <c r="G174" t="s">
        <v>26</v>
      </c>
      <c r="H174">
        <v>59226</v>
      </c>
      <c r="I174" t="str">
        <f>VLOOKUP(A:A,[1]기본데이터!$B:$E,4,0)</f>
        <v>전기인두30W</v>
      </c>
      <c r="K174" t="s">
        <v>470</v>
      </c>
      <c r="L174" t="s">
        <v>21</v>
      </c>
      <c r="M174" t="s">
        <v>29</v>
      </c>
      <c r="Q174" t="s">
        <v>22</v>
      </c>
      <c r="R174" t="s">
        <v>30</v>
      </c>
      <c r="S174" t="s">
        <v>23</v>
      </c>
      <c r="T174" t="s">
        <v>36</v>
      </c>
    </row>
    <row r="175" spans="1:20" x14ac:dyDescent="0.3">
      <c r="A175" t="s">
        <v>471</v>
      </c>
      <c r="B175" s="1" t="s">
        <v>546</v>
      </c>
      <c r="C175" s="1" t="s">
        <v>812</v>
      </c>
      <c r="D175" s="1" t="s">
        <v>813</v>
      </c>
      <c r="E175" t="s">
        <v>472</v>
      </c>
      <c r="F175" t="s">
        <v>20</v>
      </c>
      <c r="G175" t="s">
        <v>26</v>
      </c>
      <c r="H175">
        <v>59227</v>
      </c>
      <c r="I175" t="str">
        <f>VLOOKUP(A:A,[1]기본데이터!$B:$E,4,0)</f>
        <v>땜납(15 g)(전기인두용)</v>
      </c>
      <c r="K175" t="s">
        <v>470</v>
      </c>
      <c r="L175" t="s">
        <v>21</v>
      </c>
      <c r="M175" t="s">
        <v>29</v>
      </c>
      <c r="Q175" t="s">
        <v>22</v>
      </c>
      <c r="R175" t="s">
        <v>30</v>
      </c>
      <c r="S175" t="s">
        <v>23</v>
      </c>
      <c r="T175" t="s">
        <v>36</v>
      </c>
    </row>
    <row r="176" spans="1:20" x14ac:dyDescent="0.3">
      <c r="A176" t="s">
        <v>473</v>
      </c>
      <c r="B176" s="1" t="s">
        <v>546</v>
      </c>
      <c r="C176" s="1" t="s">
        <v>814</v>
      </c>
      <c r="D176" s="1" t="s">
        <v>815</v>
      </c>
      <c r="E176" t="s">
        <v>474</v>
      </c>
      <c r="F176" t="s">
        <v>20</v>
      </c>
      <c r="G176" t="s">
        <v>26</v>
      </c>
      <c r="H176">
        <v>60750</v>
      </c>
      <c r="I176" t="str">
        <f>VLOOKUP(A:A,[1]기본데이터!$B:$E,4,0)</f>
        <v>투명주먹양용드라이버(6*38 mm)</v>
      </c>
      <c r="K176" t="s">
        <v>43</v>
      </c>
      <c r="L176" t="s">
        <v>21</v>
      </c>
      <c r="M176" t="s">
        <v>29</v>
      </c>
      <c r="Q176" t="s">
        <v>22</v>
      </c>
      <c r="R176" t="s">
        <v>30</v>
      </c>
      <c r="S176" t="s">
        <v>23</v>
      </c>
      <c r="T176" t="s">
        <v>36</v>
      </c>
    </row>
    <row r="177" spans="1:20" x14ac:dyDescent="0.3">
      <c r="A177" t="s">
        <v>475</v>
      </c>
      <c r="B177" s="1" t="s">
        <v>546</v>
      </c>
      <c r="C177" s="1" t="s">
        <v>816</v>
      </c>
      <c r="D177" s="1" t="s">
        <v>817</v>
      </c>
      <c r="E177" t="s">
        <v>476</v>
      </c>
      <c r="F177" t="s">
        <v>20</v>
      </c>
      <c r="G177" t="s">
        <v>26</v>
      </c>
      <c r="H177">
        <v>60751</v>
      </c>
      <c r="I177" t="str">
        <f>VLOOKUP(A:A,[1]기본데이터!$B:$E,4,0)</f>
        <v>투명양용드라이버(6*100 mm)</v>
      </c>
      <c r="K177" t="s">
        <v>43</v>
      </c>
      <c r="L177" t="s">
        <v>21</v>
      </c>
      <c r="M177" t="s">
        <v>29</v>
      </c>
      <c r="Q177" t="s">
        <v>22</v>
      </c>
      <c r="R177" t="s">
        <v>30</v>
      </c>
      <c r="S177" t="s">
        <v>23</v>
      </c>
      <c r="T177" t="s">
        <v>36</v>
      </c>
    </row>
    <row r="178" spans="1:20" x14ac:dyDescent="0.3">
      <c r="A178" t="s">
        <v>477</v>
      </c>
      <c r="B178" s="1" t="s">
        <v>628</v>
      </c>
      <c r="C178" s="1" t="s">
        <v>818</v>
      </c>
      <c r="D178" s="1" t="s">
        <v>819</v>
      </c>
      <c r="E178" t="s">
        <v>478</v>
      </c>
      <c r="F178" t="s">
        <v>20</v>
      </c>
      <c r="G178" t="s">
        <v>26</v>
      </c>
      <c r="H178">
        <v>60752</v>
      </c>
      <c r="I178" t="str">
        <f>VLOOKUP(A:A,[1]기본데이터!$B:$E,4,0)</f>
        <v>그립양용드라이버(6*100 mm)</v>
      </c>
      <c r="K178" t="s">
        <v>43</v>
      </c>
      <c r="L178" t="s">
        <v>21</v>
      </c>
      <c r="M178" t="s">
        <v>29</v>
      </c>
      <c r="Q178" t="s">
        <v>22</v>
      </c>
      <c r="R178" t="s">
        <v>30</v>
      </c>
      <c r="S178" t="s">
        <v>23</v>
      </c>
      <c r="T178" t="s">
        <v>36</v>
      </c>
    </row>
    <row r="179" spans="1:20" x14ac:dyDescent="0.3">
      <c r="A179" t="s">
        <v>479</v>
      </c>
      <c r="B179" s="1" t="s">
        <v>628</v>
      </c>
      <c r="C179" s="1" t="s">
        <v>820</v>
      </c>
      <c r="D179" s="1" t="s">
        <v>821</v>
      </c>
      <c r="E179" t="s">
        <v>480</v>
      </c>
      <c r="F179" t="s">
        <v>20</v>
      </c>
      <c r="G179" t="s">
        <v>26</v>
      </c>
      <c r="H179">
        <v>60753</v>
      </c>
      <c r="I179" t="str">
        <f>VLOOKUP(A:A,[1]기본데이터!$B:$E,4,0)</f>
        <v>그립드라이버세트(3*75 mm)</v>
      </c>
      <c r="K179" t="s">
        <v>43</v>
      </c>
      <c r="L179" t="s">
        <v>21</v>
      </c>
      <c r="M179" t="s">
        <v>29</v>
      </c>
      <c r="Q179" t="s">
        <v>22</v>
      </c>
      <c r="R179" t="s">
        <v>30</v>
      </c>
      <c r="S179" t="s">
        <v>23</v>
      </c>
      <c r="T179" t="s">
        <v>36</v>
      </c>
    </row>
    <row r="180" spans="1:20" x14ac:dyDescent="0.3">
      <c r="A180" t="s">
        <v>481</v>
      </c>
      <c r="D180" s="1" t="s">
        <v>507</v>
      </c>
      <c r="E180" t="s">
        <v>482</v>
      </c>
      <c r="F180" t="s">
        <v>34</v>
      </c>
      <c r="G180" t="s">
        <v>26</v>
      </c>
      <c r="L180" t="s">
        <v>21</v>
      </c>
      <c r="M180" t="s">
        <v>29</v>
      </c>
      <c r="Q180" t="s">
        <v>22</v>
      </c>
      <c r="R180" t="s">
        <v>30</v>
      </c>
      <c r="S180" t="s">
        <v>23</v>
      </c>
      <c r="T180" t="s">
        <v>36</v>
      </c>
    </row>
    <row r="181" spans="1:20" x14ac:dyDescent="0.3">
      <c r="A181" t="s">
        <v>483</v>
      </c>
      <c r="B181" s="1" t="s">
        <v>628</v>
      </c>
      <c r="C181" s="1" t="s">
        <v>822</v>
      </c>
      <c r="D181" s="1" t="s">
        <v>823</v>
      </c>
      <c r="E181" t="s">
        <v>484</v>
      </c>
      <c r="F181" t="s">
        <v>20</v>
      </c>
      <c r="G181" t="s">
        <v>26</v>
      </c>
      <c r="H181">
        <v>60755</v>
      </c>
      <c r="I181" t="str">
        <f>VLOOKUP(A:A,[1]기본데이터!$B:$E,4,0)</f>
        <v>펜타입드라이버8P/SET</v>
      </c>
      <c r="K181" t="s">
        <v>485</v>
      </c>
      <c r="L181" t="s">
        <v>21</v>
      </c>
      <c r="M181" t="s">
        <v>29</v>
      </c>
      <c r="Q181" t="s">
        <v>22</v>
      </c>
      <c r="R181" t="s">
        <v>30</v>
      </c>
      <c r="S181" t="s">
        <v>23</v>
      </c>
      <c r="T181" t="s">
        <v>36</v>
      </c>
    </row>
    <row r="182" spans="1:20" x14ac:dyDescent="0.3">
      <c r="A182" t="s">
        <v>486</v>
      </c>
      <c r="D182" s="1" t="s">
        <v>824</v>
      </c>
      <c r="E182" t="s">
        <v>487</v>
      </c>
      <c r="F182" t="s">
        <v>34</v>
      </c>
      <c r="G182" t="s">
        <v>26</v>
      </c>
      <c r="H182">
        <v>60756</v>
      </c>
      <c r="K182" t="s">
        <v>359</v>
      </c>
      <c r="L182" t="s">
        <v>21</v>
      </c>
      <c r="M182" t="s">
        <v>29</v>
      </c>
      <c r="Q182" t="s">
        <v>22</v>
      </c>
      <c r="R182" t="s">
        <v>30</v>
      </c>
      <c r="S182" t="s">
        <v>23</v>
      </c>
      <c r="T182" t="s">
        <v>36</v>
      </c>
    </row>
    <row r="183" spans="1:20" x14ac:dyDescent="0.3">
      <c r="A183" t="s">
        <v>488</v>
      </c>
      <c r="D183" s="1" t="s">
        <v>825</v>
      </c>
      <c r="E183" t="s">
        <v>489</v>
      </c>
      <c r="F183" t="s">
        <v>34</v>
      </c>
      <c r="G183" t="s">
        <v>26</v>
      </c>
      <c r="H183">
        <v>60757</v>
      </c>
      <c r="K183" t="s">
        <v>359</v>
      </c>
      <c r="L183" t="s">
        <v>21</v>
      </c>
      <c r="M183" t="s">
        <v>29</v>
      </c>
      <c r="Q183" t="s">
        <v>22</v>
      </c>
      <c r="R183" t="s">
        <v>30</v>
      </c>
      <c r="S183" t="s">
        <v>23</v>
      </c>
      <c r="T183" t="s">
        <v>36</v>
      </c>
    </row>
    <row r="184" spans="1:20" x14ac:dyDescent="0.3">
      <c r="A184" t="s">
        <v>490</v>
      </c>
      <c r="B184" s="1" t="s">
        <v>546</v>
      </c>
      <c r="C184" s="1" t="s">
        <v>826</v>
      </c>
      <c r="D184" s="1" t="s">
        <v>827</v>
      </c>
      <c r="E184" t="s">
        <v>491</v>
      </c>
      <c r="F184" t="s">
        <v>20</v>
      </c>
      <c r="G184" t="s">
        <v>26</v>
      </c>
      <c r="H184">
        <v>60758</v>
      </c>
      <c r="I184" t="str">
        <f>VLOOKUP(A:A,[1]기본데이터!$B:$E,4,0)</f>
        <v>송곳 2P/SET</v>
      </c>
      <c r="K184" t="s">
        <v>40</v>
      </c>
      <c r="L184" t="s">
        <v>21</v>
      </c>
      <c r="M184" t="s">
        <v>29</v>
      </c>
      <c r="Q184" t="s">
        <v>22</v>
      </c>
      <c r="R184" t="s">
        <v>30</v>
      </c>
      <c r="S184" t="s">
        <v>23</v>
      </c>
      <c r="T184" t="s">
        <v>36</v>
      </c>
    </row>
    <row r="185" spans="1:20" x14ac:dyDescent="0.3">
      <c r="A185" t="s">
        <v>492</v>
      </c>
      <c r="B185" s="1" t="s">
        <v>628</v>
      </c>
      <c r="C185" s="1" t="s">
        <v>828</v>
      </c>
      <c r="D185" s="1" t="s">
        <v>829</v>
      </c>
      <c r="E185" t="s">
        <v>493</v>
      </c>
      <c r="F185" t="s">
        <v>20</v>
      </c>
      <c r="G185" t="s">
        <v>26</v>
      </c>
      <c r="H185">
        <v>60759</v>
      </c>
      <c r="I185" t="str">
        <f>VLOOKUP(A:A,[1]기본데이터!$B:$E,4,0)</f>
        <v>공구용줄3P/SET(#120)</v>
      </c>
      <c r="K185" t="s">
        <v>494</v>
      </c>
      <c r="L185" t="s">
        <v>21</v>
      </c>
      <c r="M185" t="s">
        <v>29</v>
      </c>
      <c r="Q185" t="s">
        <v>22</v>
      </c>
      <c r="R185" t="s">
        <v>30</v>
      </c>
      <c r="S185" t="s">
        <v>23</v>
      </c>
      <c r="T185" t="s">
        <v>36</v>
      </c>
    </row>
    <row r="186" spans="1:20" x14ac:dyDescent="0.3">
      <c r="A186" t="s">
        <v>495</v>
      </c>
      <c r="B186" s="1" t="s">
        <v>628</v>
      </c>
      <c r="C186" s="1" t="s">
        <v>830</v>
      </c>
      <c r="D186" s="1" t="s">
        <v>831</v>
      </c>
      <c r="E186" t="s">
        <v>496</v>
      </c>
      <c r="F186" t="s">
        <v>20</v>
      </c>
      <c r="G186" t="s">
        <v>26</v>
      </c>
      <c r="H186">
        <v>60760</v>
      </c>
      <c r="I186" t="str">
        <f>VLOOKUP(A:A,[1]기본데이터!$B:$E,4,0)</f>
        <v>오토락줄자(19 mm*5 m)</v>
      </c>
      <c r="K186" t="s">
        <v>131</v>
      </c>
      <c r="L186" t="s">
        <v>21</v>
      </c>
      <c r="M186" t="s">
        <v>29</v>
      </c>
      <c r="Q186" t="s">
        <v>22</v>
      </c>
      <c r="R186" t="s">
        <v>30</v>
      </c>
      <c r="S186" t="s">
        <v>23</v>
      </c>
      <c r="T186" t="s">
        <v>36</v>
      </c>
    </row>
    <row r="187" spans="1:20" x14ac:dyDescent="0.3">
      <c r="A187" t="s">
        <v>497</v>
      </c>
      <c r="B187" s="1" t="s">
        <v>546</v>
      </c>
      <c r="C187" s="1" t="s">
        <v>832</v>
      </c>
      <c r="D187" s="1" t="s">
        <v>833</v>
      </c>
      <c r="E187" t="s">
        <v>498</v>
      </c>
      <c r="F187" t="s">
        <v>20</v>
      </c>
      <c r="G187" t="s">
        <v>26</v>
      </c>
      <c r="H187">
        <v>60761</v>
      </c>
      <c r="I187" t="str">
        <f>VLOOKUP(A:A,[1]기본데이터!$B:$E,4,0)</f>
        <v>미니줄자(6 mm*3 m)</v>
      </c>
      <c r="K187" t="s">
        <v>40</v>
      </c>
      <c r="L187" t="s">
        <v>21</v>
      </c>
      <c r="M187" t="s">
        <v>29</v>
      </c>
      <c r="Q187" t="s">
        <v>22</v>
      </c>
      <c r="R187" t="s">
        <v>30</v>
      </c>
      <c r="S187" t="s">
        <v>23</v>
      </c>
      <c r="T187" t="s">
        <v>36</v>
      </c>
    </row>
    <row r="188" spans="1:20" x14ac:dyDescent="0.3">
      <c r="A188" t="s">
        <v>499</v>
      </c>
      <c r="B188" s="1" t="s">
        <v>546</v>
      </c>
      <c r="C188" s="1" t="s">
        <v>834</v>
      </c>
      <c r="D188" s="1" t="s">
        <v>835</v>
      </c>
      <c r="E188" t="s">
        <v>500</v>
      </c>
      <c r="F188" t="s">
        <v>20</v>
      </c>
      <c r="G188" t="s">
        <v>26</v>
      </c>
      <c r="H188">
        <v>61440</v>
      </c>
      <c r="I188" t="str">
        <f>VLOOKUP(A:A,[1]기본데이터!$B:$E,4,0)</f>
        <v>열쇠고리수예줄자(150 cm)</v>
      </c>
      <c r="K188" t="s">
        <v>40</v>
      </c>
      <c r="L188" t="s">
        <v>21</v>
      </c>
      <c r="M188" t="s">
        <v>29</v>
      </c>
      <c r="Q188" t="s">
        <v>22</v>
      </c>
      <c r="R188" t="s">
        <v>30</v>
      </c>
      <c r="S188" t="s">
        <v>23</v>
      </c>
      <c r="T188" t="s">
        <v>501</v>
      </c>
    </row>
    <row r="189" spans="1:20" x14ac:dyDescent="0.3">
      <c r="A189" t="s">
        <v>502</v>
      </c>
      <c r="B189" s="1" t="s">
        <v>546</v>
      </c>
      <c r="C189" s="1" t="s">
        <v>836</v>
      </c>
      <c r="D189" s="1" t="s">
        <v>837</v>
      </c>
      <c r="E189" t="s">
        <v>503</v>
      </c>
      <c r="F189" t="s">
        <v>20</v>
      </c>
      <c r="G189" t="s">
        <v>26</v>
      </c>
      <c r="H189">
        <v>61446</v>
      </c>
      <c r="I189" t="str">
        <f>VLOOKUP(A:A,[1]기본데이터!$B:$E,4,0)</f>
        <v>기본원형수예줄자(150 cm)</v>
      </c>
      <c r="K189" t="s">
        <v>40</v>
      </c>
      <c r="L189" t="s">
        <v>21</v>
      </c>
      <c r="M189" t="s">
        <v>29</v>
      </c>
      <c r="Q189" t="s">
        <v>22</v>
      </c>
      <c r="R189" t="s">
        <v>30</v>
      </c>
      <c r="S189" t="s">
        <v>23</v>
      </c>
      <c r="T189" t="s">
        <v>501</v>
      </c>
    </row>
  </sheetData>
  <autoFilter ref="A1:T189"/>
  <phoneticPr fontId="1" type="noConversion"/>
  <pageMargins left="0.7" right="0.7" top="0.75" bottom="0.75" header="0.3" footer="0.3"/>
  <ignoredErrors>
    <ignoredError sqref="A1: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2026-04-16T08:51:08Z</dcterms:created>
  <dcterms:modified xsi:type="dcterms:W3CDTF">2026-04-17T08:38:29Z</dcterms:modified>
</cp:coreProperties>
</file>